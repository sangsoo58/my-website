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c2fded0e941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SE_MASTER_FINAL" sheetId="1" r:id="R357e4ea1953b4da2"/>
    <x:sheet xmlns:r="http://schemas.openxmlformats.org/officeDocument/2006/relationships" name="02_EXTENSION_42_51" sheetId="2" r:id="R1695ff44e2624ec9"/>
    <x:sheet xmlns:r="http://schemas.openxmlformats.org/officeDocument/2006/relationships" name="03_FILTER_COUNTS" sheetId="3" r:id="R99145bd3c1a94299"/>
    <x:sheet xmlns:r="http://schemas.openxmlformats.org/officeDocument/2006/relationships" name="04_SOURCE_RULES" sheetId="4" r:id="R1174fbed15cc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d4ec9886847f2" /><Relationship Type="http://schemas.openxmlformats.org/officeDocument/2006/relationships/theme" Target="/xl/theme/theme1.xml" Id="R7d3c3de264a74456" /><Relationship Type="http://schemas.openxmlformats.org/officeDocument/2006/relationships/sharedStrings" Target="/xl/sharedStrings.xml" Id="R03ed0c882746441c" /><Relationship Type="http://schemas.openxmlformats.org/officeDocument/2006/relationships/worksheet" Target="/xl/worksheets/sheet1.xml" Id="R357e4ea1953b4da2" /><Relationship Type="http://schemas.openxmlformats.org/officeDocument/2006/relationships/worksheet" Target="/xl/worksheets/sheet2.xml" Id="R1695ff44e2624ec9" /><Relationship Type="http://schemas.openxmlformats.org/officeDocument/2006/relationships/worksheet" Target="/xl/worksheets/sheet3.xml" Id="R99145bd3c1a94299" /><Relationship Type="http://schemas.openxmlformats.org/officeDocument/2006/relationships/worksheet" Target="/xl/worksheets/sheet4.xml" Id="R1174fbed15cc485d" /></Relationships>
</file>

<file path=xl/tables/table1.xml><?xml version="1.0" encoding="utf-8"?>
<x:table xmlns:x="http://schemas.openxmlformats.org/spreadsheetml/2006/main" id="1" name="CaseMasterV2Final" displayName="CaseMasterV2Final" ref="A1:P52" headerRowCount="1" totalsRowCount="0" totalsRowShown="0">
  <x:tableColumns count="16">
    <x:tableColumn id="1" name="CASE ID"/>
    <x:tableColumn id="2" name="공개 CASE 제목"/>
    <x:tableColumn id="3" name="분야"/>
    <x:tableColumn id="4" name="1차 구분"/>
    <x:tableColumn id="5" name="출판상태"/>
    <x:tableColumn id="6" name="Source Family"/>
    <x:tableColumn id="7" name="대상설비"/>
    <x:tableColumn id="8" name="분석목적"/>
    <x:tableColumn id="9" name="분석방법"/>
    <x:tableColumn id="10" name="Evidence Level"/>
    <x:tableColumn id="11" name="정량근거"/>
    <x:tableColumn id="12" name="Measurement Boundary"/>
    <x:tableColumn id="13" name="익명화 여부"/>
    <x:tableColumn id="14" name="Source Trace"/>
    <x:tableColumn id="15" name="기존 저서 CASE와의 관계"/>
    <x:tableColumn id="16" name="홈페이지 영구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ensionCases" displayName="ExtensionCases" ref="A1:P11" headerRowCount="1" totalsRowCount="0" totalsRowShown="0">
  <x:tableColumns count="16">
    <x:tableColumn id="1" name="CASE ID"/>
    <x:tableColumn id="2" name="공개 CASE 제목"/>
    <x:tableColumn id="3" name="분야"/>
    <x:tableColumn id="4" name="1차 구분"/>
    <x:tableColumn id="5" name="출판상태"/>
    <x:tableColumn id="6" name="Source Family"/>
    <x:tableColumn id="7" name="대상설비"/>
    <x:tableColumn id="8" name="분석목적"/>
    <x:tableColumn id="9" name="분석방법"/>
    <x:tableColumn id="10" name="Evidence Level"/>
    <x:tableColumn id="11" name="정량근거"/>
    <x:tableColumn id="12" name="Measurement Boundary"/>
    <x:tableColumn id="13" name="익명화 여부"/>
    <x:tableColumn id="14" name="Source Trace"/>
    <x:tableColumn id="15" name="기존 저서 CASE와의 관계"/>
    <x:tableColumn id="16" name="홈페이지 영구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ules" displayName="SourceRules" ref="A1:B9" headerRowCount="1" totalsRowCount="0" totalsRowShown="0">
  <x:tableColumns count="2">
    <x:tableColumn id="1" name="규칙"/>
    <x:tableColumn id="2" name="확정 내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39b83414904d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5488a3e7bc43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6d7765e7f1468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34" hidden="0" customWidth="1"/>
    <x:col min="8" max="8" width="34" hidden="0" customWidth="1"/>
    <x:col min="9" max="9" width="36" hidden="0" customWidth="1"/>
    <x:col min="10" max="10" width="16" hidden="0" customWidth="1"/>
    <x:col min="11" max="11" width="48" hidden="0" customWidth="1"/>
    <x:col min="12" max="12" width="50" hidden="0" customWidth="1"/>
    <x:col min="13" max="13" width="14" hidden="0" customWidth="1"/>
    <x:col min="14" max="14" width="34" hidden="0" customWidth="1"/>
    <x:col min="15" max="15" width="28" hidden="0" customWidth="1"/>
    <x:col min="16" max="16" width="48" hidden="0" customWidth="1"/>
  </x:cols>
  <x:sheetData>
    <x:row r="1">
      <x:c r="A1" s="14" t="str">
        <x:v>CASE ID</x:v>
      </x:c>
      <x:c r="B1" s="14" t="str">
        <x:v>공개 CASE 제목</x:v>
      </x:c>
      <x:c r="C1" s="14" t="str">
        <x:v>분야</x:v>
      </x:c>
      <x:c r="D1" s="14" t="str">
        <x:v>1차 구분</x:v>
      </x:c>
      <x:c r="E1" s="14" t="str">
        <x:v>출판상태</x:v>
      </x:c>
      <x:c r="F1" s="14" t="str">
        <x:v>Source Family</x:v>
      </x:c>
      <x:c r="G1" s="14" t="str">
        <x:v>대상설비</x:v>
      </x:c>
      <x:c r="H1" s="14" t="str">
        <x:v>분석목적</x:v>
      </x:c>
      <x:c r="I1" s="14" t="str">
        <x:v>분석방법</x:v>
      </x:c>
      <x:c r="J1" s="14" t="str">
        <x:v>Evidence Level</x:v>
      </x:c>
      <x:c r="K1" s="14" t="str">
        <x:v>정량근거</x:v>
      </x:c>
      <x:c r="L1" s="14" t="str">
        <x:v>Measurement Boundary</x:v>
      </x:c>
      <x:c r="M1" s="14" t="str">
        <x:v>익명화 여부</x:v>
      </x:c>
      <x:c r="N1" s="14" t="str">
        <x:v>Source Trace</x:v>
      </x:c>
      <x:c r="O1" s="14" t="str">
        <x:v>기존 저서 CASE와의 관계</x:v>
      </x:c>
      <x:c r="P1" s="14" t="str">
        <x:v>홈페이지 영구 URL</x:v>
      </x:c>
    </x:row>
    <x:row r="2">
      <x:c r="A2" s="15" t="str">
        <x:v>CASE 01</x:v>
      </x:c>
      <x:c r="B2" s="15" t="str">
        <x:v>SHAFT 열처리 공정의 Baseline 구축과 표준운전 조건 최적화</x:v>
      </x:c>
      <x:c r="C2" s="15" t="str">
        <x:v>제조공장</x:v>
      </x:c>
      <x:c r="D2" s="15" t="str">
        <x:v>저서 연계</x:v>
      </x:c>
      <x:c r="E2" s="15" t="str">
        <x:v>현 저서 수록</x:v>
      </x:c>
      <x:c r="F2" s="15" t="str">
        <x:v>BOOK/원자료</x:v>
      </x:c>
      <x:c r="G2" s="15" t="str">
        <x:v>해당 CASE 원자료 기준</x:v>
      </x:c>
      <x:c r="H2" s="15" t="str">
        <x:v>저서 CASE 목적 유지</x:v>
      </x:c>
      <x:c r="I2" s="15" t="str">
        <x:v>저서 CASE 방법 유지</x:v>
      </x:c>
      <x:c r="J2" s="15" t="str">
        <x:v>원자료 기준</x:v>
      </x:c>
      <x:c r="K2" s="15" t="str">
        <x:v>저서/원자료 기준</x:v>
      </x:c>
      <x:c r="L2" s="15" t="str">
        <x:v>저서/원자료 기준</x:v>
      </x:c>
      <x:c r="M2" s="15" t="str">
        <x:v>예</x:v>
      </x:c>
      <x:c r="N2" s="15" t="str">
        <x:v>57-3차 POD + 해당 원자료</x:v>
      </x:c>
      <x:c r="O2" s="15" t="str">
        <x:v>CASE 01</x:v>
      </x:c>
      <x:c r="P2" s="15" t="str">
        <x:v>/cases/case-001.html</x:v>
      </x:c>
    </x:row>
    <x:row r="3">
      <x:c r="A3" s="15" t="str">
        <x:v>CASE 02</x:v>
      </x:c>
      <x:c r="B3" s="15" t="str">
        <x:v>ACF#3 에너지 고소비 작업 정상화와 설비별 Baseline 구축</x:v>
      </x:c>
      <x:c r="C3" s="15" t="str">
        <x:v>제조공장</x:v>
      </x:c>
      <x:c r="D3" s="15" t="str">
        <x:v>저서 연계</x:v>
      </x:c>
      <x:c r="E3" s="15" t="str">
        <x:v>현 저서 수록</x:v>
      </x:c>
      <x:c r="F3" s="15" t="str">
        <x:v>BOOK/원자료</x:v>
      </x:c>
      <x:c r="G3" s="15" t="str">
        <x:v>해당 CASE 원자료 기준</x:v>
      </x:c>
      <x:c r="H3" s="15" t="str">
        <x:v>저서 CASE 목적 유지</x:v>
      </x:c>
      <x:c r="I3" s="15" t="str">
        <x:v>저서 CASE 방법 유지</x:v>
      </x:c>
      <x:c r="J3" s="15" t="str">
        <x:v>원자료 기준</x:v>
      </x:c>
      <x:c r="K3" s="15" t="str">
        <x:v>저서/원자료 기준</x:v>
      </x:c>
      <x:c r="L3" s="15" t="str">
        <x:v>저서/원자료 기준</x:v>
      </x:c>
      <x:c r="M3" s="15" t="str">
        <x:v>예</x:v>
      </x:c>
      <x:c r="N3" s="15" t="str">
        <x:v>57-3차 POD + 해당 원자료</x:v>
      </x:c>
      <x:c r="O3" s="15" t="str">
        <x:v>CASE 02</x:v>
      </x:c>
      <x:c r="P3" s="15" t="str">
        <x:v>/cases/case-002.html</x:v>
      </x:c>
    </x:row>
    <x:row r="4">
      <x:c r="A4" s="15" t="str">
        <x:v>CASE 03</x:v>
      </x:c>
      <x:c r="B4" s="15" t="str">
        <x:v>회수율 개선을 통한 주조공정 에너지원단위 절감 잠재량 분석</x:v>
      </x:c>
      <x:c r="C4" s="15" t="str">
        <x:v>제조공장</x:v>
      </x:c>
      <x:c r="D4" s="15" t="str">
        <x:v>저서 연계</x:v>
      </x:c>
      <x:c r="E4" s="15" t="str">
        <x:v>현 저서 수록</x:v>
      </x:c>
      <x:c r="F4" s="15" t="str">
        <x:v>BOOK/원자료</x:v>
      </x:c>
      <x:c r="G4" s="15" t="str">
        <x:v>해당 CASE 원자료 기준</x:v>
      </x:c>
      <x:c r="H4" s="15" t="str">
        <x:v>저서 CASE 목적 유지</x:v>
      </x:c>
      <x:c r="I4" s="15" t="str">
        <x:v>저서 CASE 방법 유지</x:v>
      </x:c>
      <x:c r="J4" s="15" t="str">
        <x:v>원자료 기준</x:v>
      </x:c>
      <x:c r="K4" s="15" t="str">
        <x:v>저서/원자료 기준</x:v>
      </x:c>
      <x:c r="L4" s="15" t="str">
        <x:v>저서/원자료 기준</x:v>
      </x:c>
      <x:c r="M4" s="15" t="str">
        <x:v>예</x:v>
      </x:c>
      <x:c r="N4" s="15" t="str">
        <x:v>57-3차 POD + 해당 원자료</x:v>
      </x:c>
      <x:c r="O4" s="15" t="str">
        <x:v>CASE 03</x:v>
      </x:c>
      <x:c r="P4" s="15" t="str">
        <x:v>/cases/case-003.html</x:v>
      </x:c>
    </x:row>
    <x:row r="5">
      <x:c r="A5" s="15" t="str">
        <x:v>CASE 04</x:v>
      </x:c>
      <x:c r="B5" s="15" t="str">
        <x:v>출탕량·Batch 확대를 통한 용해·주조 에너지원단위 개선</x:v>
      </x:c>
      <x:c r="C5" s="15" t="str">
        <x:v>제조공장</x:v>
      </x:c>
      <x:c r="D5" s="15" t="str">
        <x:v>저서 연계</x:v>
      </x:c>
      <x:c r="E5" s="15" t="str">
        <x:v>현 저서 수록</x:v>
      </x:c>
      <x:c r="F5" s="15" t="str">
        <x:v>BOOK/원자료</x:v>
      </x:c>
      <x:c r="G5" s="15" t="str">
        <x:v>해당 CASE 원자료 기준</x:v>
      </x:c>
      <x:c r="H5" s="15" t="str">
        <x:v>저서 CASE 목적 유지</x:v>
      </x:c>
      <x:c r="I5" s="15" t="str">
        <x:v>저서 CASE 방법 유지</x:v>
      </x:c>
      <x:c r="J5" s="15" t="str">
        <x:v>원자료 기준</x:v>
      </x:c>
      <x:c r="K5" s="15" t="str">
        <x:v>저서/원자료 기준</x:v>
      </x:c>
      <x:c r="L5" s="15" t="str">
        <x:v>저서/원자료 기준</x:v>
      </x:c>
      <x:c r="M5" s="15" t="str">
        <x:v>예</x:v>
      </x:c>
      <x:c r="N5" s="15" t="str">
        <x:v>57-3차 POD + 해당 원자료</x:v>
      </x:c>
      <x:c r="O5" s="15" t="str">
        <x:v>CASE 04</x:v>
      </x:c>
      <x:c r="P5" s="15" t="str">
        <x:v>/cases/case-004.html</x:v>
      </x:c>
    </x:row>
    <x:row r="6">
      <x:c r="A6" s="15" t="str">
        <x:v>CASE 05</x:v>
      </x:c>
      <x:c r="B6" s="15" t="str">
        <x:v>FM 공정 비가동시간 축소와 LOT 생산중량 확대를 통한 원단위 개선</x:v>
      </x:c>
      <x:c r="C6" s="15" t="str">
        <x:v>제조공장</x:v>
      </x:c>
      <x:c r="D6" s="15" t="str">
        <x:v>저서 연계</x:v>
      </x:c>
      <x:c r="E6" s="15" t="str">
        <x:v>현 저서 수록</x:v>
      </x:c>
      <x:c r="F6" s="15" t="str">
        <x:v>BOOK/원자료</x:v>
      </x:c>
      <x:c r="G6" s="15" t="str">
        <x:v>해당 CASE 원자료 기준</x:v>
      </x:c>
      <x:c r="H6" s="15" t="str">
        <x:v>저서 CASE 목적 유지</x:v>
      </x:c>
      <x:c r="I6" s="15" t="str">
        <x:v>저서 CASE 방법 유지</x:v>
      </x:c>
      <x:c r="J6" s="15" t="str">
        <x:v>원자료 기준</x:v>
      </x:c>
      <x:c r="K6" s="15" t="str">
        <x:v>저서/원자료 기준</x:v>
      </x:c>
      <x:c r="L6" s="15" t="str">
        <x:v>저서/원자료 기준</x:v>
      </x:c>
      <x:c r="M6" s="15" t="str">
        <x:v>예</x:v>
      </x:c>
      <x:c r="N6" s="15" t="str">
        <x:v>57-3차 POD + 해당 원자료</x:v>
      </x:c>
      <x:c r="O6" s="15" t="str">
        <x:v>CASE 05</x:v>
      </x:c>
      <x:c r="P6" s="15" t="str">
        <x:v>/cases/case-005.html</x:v>
      </x:c>
    </x:row>
    <x:row r="7">
      <x:c r="A7" s="15" t="str">
        <x:v>CASE 06</x:v>
      </x:c>
      <x:c r="B7" s="15" t="str">
        <x:v>사출·압출 공정과 Utility의 전력 소비구조 및 1분 단위 운전패턴 분석</x:v>
      </x:c>
      <x:c r="C7" s="15" t="str">
        <x:v>제조공장</x:v>
      </x:c>
      <x:c r="D7" s="15" t="str">
        <x:v>저서 연계</x:v>
      </x:c>
      <x:c r="E7" s="15" t="str">
        <x:v>현 저서 수록</x:v>
      </x:c>
      <x:c r="F7" s="15" t="str">
        <x:v>BOOK/원자료</x:v>
      </x:c>
      <x:c r="G7" s="15" t="str">
        <x:v>해당 CASE 원자료 기준</x:v>
      </x:c>
      <x:c r="H7" s="15" t="str">
        <x:v>저서 CASE 목적 유지</x:v>
      </x:c>
      <x:c r="I7" s="15" t="str">
        <x:v>저서 CASE 방법 유지</x:v>
      </x:c>
      <x:c r="J7" s="15" t="str">
        <x:v>원자료 기준</x:v>
      </x:c>
      <x:c r="K7" s="15" t="str">
        <x:v>저서/원자료 기준</x:v>
      </x:c>
      <x:c r="L7" s="15" t="str">
        <x:v>저서/원자료 기준</x:v>
      </x:c>
      <x:c r="M7" s="15" t="str">
        <x:v>예</x:v>
      </x:c>
      <x:c r="N7" s="15" t="str">
        <x:v>57-3차 POD + 해당 원자료</x:v>
      </x:c>
      <x:c r="O7" s="15" t="str">
        <x:v>CASE 06</x:v>
      </x:c>
      <x:c r="P7" s="15" t="str">
        <x:v>/cases/case-006.html</x:v>
      </x:c>
    </x:row>
    <x:row r="8">
      <x:c r="A8" s="15" t="str">
        <x:v>CASE 07</x:v>
      </x:c>
      <x:c r="B8" s="15" t="str">
        <x:v>소결로별 전력성능 분석과 성능우위 우선가동 시나리오 최적화</x:v>
      </x:c>
      <x:c r="C8" s="15" t="str">
        <x:v>제조공장</x:v>
      </x:c>
      <x:c r="D8" s="15" t="str">
        <x:v>저서 연계</x:v>
      </x:c>
      <x:c r="E8" s="15" t="str">
        <x:v>현 저서 수록</x:v>
      </x:c>
      <x:c r="F8" s="15" t="str">
        <x:v>BOOK/원자료</x:v>
      </x:c>
      <x:c r="G8" s="15" t="str">
        <x:v>해당 CASE 원자료 기준</x:v>
      </x:c>
      <x:c r="H8" s="15" t="str">
        <x:v>저서 CASE 목적 유지</x:v>
      </x:c>
      <x:c r="I8" s="15" t="str">
        <x:v>저서 CASE 방법 유지</x:v>
      </x:c>
      <x:c r="J8" s="15" t="str">
        <x:v>원자료 기준</x:v>
      </x:c>
      <x:c r="K8" s="15" t="str">
        <x:v>저서/원자료 기준</x:v>
      </x:c>
      <x:c r="L8" s="15" t="str">
        <x:v>저서/원자료 기준</x:v>
      </x:c>
      <x:c r="M8" s="15" t="str">
        <x:v>예</x:v>
      </x:c>
      <x:c r="N8" s="15" t="str">
        <x:v>57-3차 POD + 해당 원자료</x:v>
      </x:c>
      <x:c r="O8" s="15" t="str">
        <x:v>CASE 07</x:v>
      </x:c>
      <x:c r="P8" s="15" t="str">
        <x:v>/cases/case-007.html</x:v>
      </x:c>
    </x:row>
    <x:row r="9">
      <x:c r="A9" s="15" t="str">
        <x:v>CASE 08</x:v>
      </x:c>
      <x:c r="B9" s="15" t="str">
        <x:v>반도체 제조공장 공조·유틸리티 운전데이터 분석과 동시 냉난방 해소</x:v>
      </x:c>
      <x:c r="C9" s="15" t="str">
        <x:v>제조공장</x:v>
      </x:c>
      <x:c r="D9" s="15" t="str">
        <x:v>저서 연계</x:v>
      </x:c>
      <x:c r="E9" s="15" t="str">
        <x:v>현 저서 수록</x:v>
      </x:c>
      <x:c r="F9" s="15" t="str">
        <x:v>BOOK/원자료</x:v>
      </x:c>
      <x:c r="G9" s="15" t="str">
        <x:v>해당 CASE 원자료 기준</x:v>
      </x:c>
      <x:c r="H9" s="15" t="str">
        <x:v>저서 CASE 목적 유지</x:v>
      </x:c>
      <x:c r="I9" s="15" t="str">
        <x:v>저서 CASE 방법 유지</x:v>
      </x:c>
      <x:c r="J9" s="15" t="str">
        <x:v>원자료 기준</x:v>
      </x:c>
      <x:c r="K9" s="15" t="str">
        <x:v>저서/원자료 기준</x:v>
      </x:c>
      <x:c r="L9" s="15" t="str">
        <x:v>저서/원자료 기준</x:v>
      </x:c>
      <x:c r="M9" s="15" t="str">
        <x:v>예</x:v>
      </x:c>
      <x:c r="N9" s="15" t="str">
        <x:v>57-3차 POD + 해당 원자료</x:v>
      </x:c>
      <x:c r="O9" s="15" t="str">
        <x:v>CASE 08</x:v>
      </x:c>
      <x:c r="P9" s="15" t="str">
        <x:v>/cases/case-008.html</x:v>
      </x:c>
    </x:row>
    <x:row r="10">
      <x:c r="A10" s="15" t="str">
        <x:v>CASE 09</x:v>
      </x:c>
      <x:c r="B10" s="15" t="str">
        <x:v>COP 기반 냉동기 우선가동과 월별 운전 시나리오 수립</x:v>
      </x:c>
      <x:c r="C10" s="15" t="str">
        <x:v>제조공장</x:v>
      </x:c>
      <x:c r="D10" s="15" t="str">
        <x:v>저서 연계</x:v>
      </x:c>
      <x:c r="E10" s="15" t="str">
        <x:v>현 저서 수록</x:v>
      </x:c>
      <x:c r="F10" s="15" t="str">
        <x:v>BOOK/원자료</x:v>
      </x:c>
      <x:c r="G10" s="15" t="str">
        <x:v>해당 CASE 원자료 기준</x:v>
      </x:c>
      <x:c r="H10" s="15" t="str">
        <x:v>저서 CASE 목적 유지</x:v>
      </x:c>
      <x:c r="I10" s="15" t="str">
        <x:v>저서 CASE 방법 유지</x:v>
      </x:c>
      <x:c r="J10" s="15" t="str">
        <x:v>원자료 기준</x:v>
      </x:c>
      <x:c r="K10" s="15" t="str">
        <x:v>저서/원자료 기준</x:v>
      </x:c>
      <x:c r="L10" s="15" t="str">
        <x:v>저서/원자료 기준</x:v>
      </x:c>
      <x:c r="M10" s="15" t="str">
        <x:v>예</x:v>
      </x:c>
      <x:c r="N10" s="15" t="str">
        <x:v>57-3차 POD + 해당 원자료</x:v>
      </x:c>
      <x:c r="O10" s="15" t="str">
        <x:v>CASE 09</x:v>
      </x:c>
      <x:c r="P10" s="15" t="str">
        <x:v>/cases/case-009.html</x:v>
      </x:c>
    </x:row>
    <x:row r="11">
      <x:c r="A11" s="15" t="str">
        <x:v>CASE 10</x:v>
      </x:c>
      <x:c r="B11" s="15" t="str">
        <x:v>대형 냉동기 Plant 가동대수·COP·펌프·냉각탑 통합 운전최적화</x:v>
      </x:c>
      <x:c r="C11" s="15" t="str">
        <x:v>제조공장</x:v>
      </x:c>
      <x:c r="D11" s="15" t="str">
        <x:v>저서 연계</x:v>
      </x:c>
      <x:c r="E11" s="15" t="str">
        <x:v>현 저서 수록</x:v>
      </x:c>
      <x:c r="F11" s="15" t="str">
        <x:v>BOOK/원자료</x:v>
      </x:c>
      <x:c r="G11" s="15" t="str">
        <x:v>해당 CASE 원자료 기준</x:v>
      </x:c>
      <x:c r="H11" s="15" t="str">
        <x:v>저서 CASE 목적 유지</x:v>
      </x:c>
      <x:c r="I11" s="15" t="str">
        <x:v>저서 CASE 방법 유지</x:v>
      </x:c>
      <x:c r="J11" s="15" t="str">
        <x:v>원자료 기준</x:v>
      </x:c>
      <x:c r="K11" s="15" t="str">
        <x:v>저서/원자료 기준</x:v>
      </x:c>
      <x:c r="L11" s="15" t="str">
        <x:v>저서/원자료 기준</x:v>
      </x:c>
      <x:c r="M11" s="15" t="str">
        <x:v>예</x:v>
      </x:c>
      <x:c r="N11" s="15" t="str">
        <x:v>57-3차 POD + 해당 원자료</x:v>
      </x:c>
      <x:c r="O11" s="15" t="str">
        <x:v>CASE 10</x:v>
      </x:c>
      <x:c r="P11" s="15" t="str">
        <x:v>/cases/case-010.html</x:v>
      </x:c>
    </x:row>
    <x:row r="12">
      <x:c r="A12" s="15" t="str">
        <x:v>CASE 11</x:v>
      </x:c>
      <x:c r="B12" s="15" t="str">
        <x:v>반도체·디스플레이 제조시설 Utility 운전최적화와 실시간 효율관리 체계 구축</x:v>
      </x:c>
      <x:c r="C12" s="15" t="str">
        <x:v>제조공장</x:v>
      </x:c>
      <x:c r="D12" s="15" t="str">
        <x:v>저서 연계</x:v>
      </x:c>
      <x:c r="E12" s="15" t="str">
        <x:v>현 저서 수록</x:v>
      </x:c>
      <x:c r="F12" s="15" t="str">
        <x:v>BOOK/원자료</x:v>
      </x:c>
      <x:c r="G12" s="15" t="str">
        <x:v>해당 CASE 원자료 기준</x:v>
      </x:c>
      <x:c r="H12" s="15" t="str">
        <x:v>저서 CASE 목적 유지</x:v>
      </x:c>
      <x:c r="I12" s="15" t="str">
        <x:v>저서 CASE 방법 유지</x:v>
      </x:c>
      <x:c r="J12" s="15" t="str">
        <x:v>원자료 기준</x:v>
      </x:c>
      <x:c r="K12" s="15" t="str">
        <x:v>저서/원자료 기준</x:v>
      </x:c>
      <x:c r="L12" s="15" t="str">
        <x:v>저서/원자료 기준</x:v>
      </x:c>
      <x:c r="M12" s="15" t="str">
        <x:v>예</x:v>
      </x:c>
      <x:c r="N12" s="15" t="str">
        <x:v>57-3차 POD + 해당 원자료</x:v>
      </x:c>
      <x:c r="O12" s="15" t="str">
        <x:v>CASE 11</x:v>
      </x:c>
      <x:c r="P12" s="15" t="str">
        <x:v>/cases/case-011.html</x:v>
      </x:c>
    </x:row>
    <x:row r="13">
      <x:c r="A13" s="15" t="str">
        <x:v>CASE 12</x:v>
      </x:c>
      <x:c r="B13" s="15" t="str">
        <x:v>냉동·공조·압축공기 통합 운전데이터 분석</x:v>
      </x:c>
      <x:c r="C13" s="15" t="str">
        <x:v>제조공장</x:v>
      </x:c>
      <x:c r="D13" s="15" t="str">
        <x:v>저서 연계</x:v>
      </x:c>
      <x:c r="E13" s="15" t="str">
        <x:v>현 저서 수록</x:v>
      </x:c>
      <x:c r="F13" s="15" t="str">
        <x:v>BOOK/원자료</x:v>
      </x:c>
      <x:c r="G13" s="15" t="str">
        <x:v>해당 CASE 원자료 기준</x:v>
      </x:c>
      <x:c r="H13" s="15" t="str">
        <x:v>저서 CASE 목적 유지</x:v>
      </x:c>
      <x:c r="I13" s="15" t="str">
        <x:v>저서 CASE 방법 유지</x:v>
      </x:c>
      <x:c r="J13" s="15" t="str">
        <x:v>원자료 기준</x:v>
      </x:c>
      <x:c r="K13" s="15" t="str">
        <x:v>저서/원자료 기준</x:v>
      </x:c>
      <x:c r="L13" s="15" t="str">
        <x:v>저서/원자료 기준</x:v>
      </x:c>
      <x:c r="M13" s="15" t="str">
        <x:v>예</x:v>
      </x:c>
      <x:c r="N13" s="15" t="str">
        <x:v>57-3차 POD + 해당 원자료</x:v>
      </x:c>
      <x:c r="O13" s="15" t="str">
        <x:v>CASE 12</x:v>
      </x:c>
      <x:c r="P13" s="15" t="str">
        <x:v>/cases/case-012.html</x:v>
      </x:c>
    </x:row>
    <x:row r="14">
      <x:c r="A14" s="15" t="str">
        <x:v>CASE 13</x:v>
      </x:c>
      <x:c r="B14" s="15" t="str">
        <x:v>4개 생산시설 냉동기·공기압축기 UPI Benchmark 및 가동 대수 최적화</x:v>
      </x:c>
      <x:c r="C14" s="15" t="str">
        <x:v>제조공장</x:v>
      </x:c>
      <x:c r="D14" s="15" t="str">
        <x:v>저서 연계</x:v>
      </x:c>
      <x:c r="E14" s="15" t="str">
        <x:v>현 저서 수록</x:v>
      </x:c>
      <x:c r="F14" s="15" t="str">
        <x:v>BOOK/원자료</x:v>
      </x:c>
      <x:c r="G14" s="15" t="str">
        <x:v>해당 CASE 원자료 기준</x:v>
      </x:c>
      <x:c r="H14" s="15" t="str">
        <x:v>저서 CASE 목적 유지</x:v>
      </x:c>
      <x:c r="I14" s="15" t="str">
        <x:v>저서 CASE 방법 유지</x:v>
      </x:c>
      <x:c r="J14" s="15" t="str">
        <x:v>원자료 기준</x:v>
      </x:c>
      <x:c r="K14" s="15" t="str">
        <x:v>저서/원자료 기준</x:v>
      </x:c>
      <x:c r="L14" s="15" t="str">
        <x:v>저서/원자료 기준</x:v>
      </x:c>
      <x:c r="M14" s="15" t="str">
        <x:v>예</x:v>
      </x:c>
      <x:c r="N14" s="15" t="str">
        <x:v>57-3차 POD + 해당 원자료</x:v>
      </x:c>
      <x:c r="O14" s="15" t="str">
        <x:v>CASE 13</x:v>
      </x:c>
      <x:c r="P14" s="15" t="str">
        <x:v>/cases/case-013.html</x:v>
      </x:c>
    </x:row>
    <x:row r="15">
      <x:c r="A15" s="15" t="str">
        <x:v>CASE 14</x:v>
      </x:c>
      <x:c r="B15" s="15" t="str">
        <x:v>반도체공장 Big-data 기반 Utility 운전최적화</x:v>
      </x:c>
      <x:c r="C15" s="15" t="str">
        <x:v>제조공장</x:v>
      </x:c>
      <x:c r="D15" s="15" t="str">
        <x:v>저서 연계</x:v>
      </x:c>
      <x:c r="E15" s="15" t="str">
        <x:v>현 저서 수록</x:v>
      </x:c>
      <x:c r="F15" s="15" t="str">
        <x:v>BOOK/원자료</x:v>
      </x:c>
      <x:c r="G15" s="15" t="str">
        <x:v>해당 CASE 원자료 기준</x:v>
      </x:c>
      <x:c r="H15" s="15" t="str">
        <x:v>저서 CASE 목적 유지</x:v>
      </x:c>
      <x:c r="I15" s="15" t="str">
        <x:v>저서 CASE 방법 유지</x:v>
      </x:c>
      <x:c r="J15" s="15" t="str">
        <x:v>원자료 기준</x:v>
      </x:c>
      <x:c r="K15" s="15" t="str">
        <x:v>저서/원자료 기준</x:v>
      </x:c>
      <x:c r="L15" s="15" t="str">
        <x:v>저서/원자료 기준</x:v>
      </x:c>
      <x:c r="M15" s="15" t="str">
        <x:v>예</x:v>
      </x:c>
      <x:c r="N15" s="15" t="str">
        <x:v>57-3차 POD + 해당 원자료</x:v>
      </x:c>
      <x:c r="O15" s="15" t="str">
        <x:v>CASE 14</x:v>
      </x:c>
      <x:c r="P15" s="15" t="str">
        <x:v>/cases/case-014.html</x:v>
      </x:c>
    </x:row>
    <x:row r="16">
      <x:c r="A16" s="15" t="str">
        <x:v>CASE 15</x:v>
      </x:c>
      <x:c r="B16" s="15" t="str">
        <x:v>전장품 제조공장 공기압축기·냉동기 Utility 운전최적화</x:v>
      </x:c>
      <x:c r="C16" s="15" t="str">
        <x:v>제조공장</x:v>
      </x:c>
      <x:c r="D16" s="15" t="str">
        <x:v>저서 연계</x:v>
      </x:c>
      <x:c r="E16" s="15" t="str">
        <x:v>현 저서 수록</x:v>
      </x:c>
      <x:c r="F16" s="15" t="str">
        <x:v>BOOK/원자료</x:v>
      </x:c>
      <x:c r="G16" s="15" t="str">
        <x:v>해당 CASE 원자료 기준</x:v>
      </x:c>
      <x:c r="H16" s="15" t="str">
        <x:v>저서 CASE 목적 유지</x:v>
      </x:c>
      <x:c r="I16" s="15" t="str">
        <x:v>저서 CASE 방법 유지</x:v>
      </x:c>
      <x:c r="J16" s="15" t="str">
        <x:v>원자료 기준</x:v>
      </x:c>
      <x:c r="K16" s="15" t="str">
        <x:v>저서/원자료 기준</x:v>
      </x:c>
      <x:c r="L16" s="15" t="str">
        <x:v>저서/원자료 기준</x:v>
      </x:c>
      <x:c r="M16" s="15" t="str">
        <x:v>예</x:v>
      </x:c>
      <x:c r="N16" s="15" t="str">
        <x:v>57-3차 POD + 해당 원자료</x:v>
      </x:c>
      <x:c r="O16" s="15" t="str">
        <x:v>CASE 15</x:v>
      </x:c>
      <x:c r="P16" s="15" t="str">
        <x:v>/cases/case-015.html</x:v>
      </x:c>
    </x:row>
    <x:row r="17">
      <x:c r="A17" s="15" t="str">
        <x:v>CASE 16</x:v>
      </x:c>
      <x:c r="B17" s="15" t="str">
        <x:v>대형 자동차공장 공기압축기 운전효율·UPI·수요패턴 최적화</x:v>
      </x:c>
      <x:c r="C17" s="15" t="str">
        <x:v>제조공장</x:v>
      </x:c>
      <x:c r="D17" s="15" t="str">
        <x:v>저서 연계</x:v>
      </x:c>
      <x:c r="E17" s="15" t="str">
        <x:v>현 저서 수록</x:v>
      </x:c>
      <x:c r="F17" s="15" t="str">
        <x:v>BOOK/원자료</x:v>
      </x:c>
      <x:c r="G17" s="15" t="str">
        <x:v>해당 CASE 원자료 기준</x:v>
      </x:c>
      <x:c r="H17" s="15" t="str">
        <x:v>저서 CASE 목적 유지</x:v>
      </x:c>
      <x:c r="I17" s="15" t="str">
        <x:v>저서 CASE 방법 유지</x:v>
      </x:c>
      <x:c r="J17" s="15" t="str">
        <x:v>원자료 기준</x:v>
      </x:c>
      <x:c r="K17" s="15" t="str">
        <x:v>저서/원자료 기준</x:v>
      </x:c>
      <x:c r="L17" s="15" t="str">
        <x:v>저서/원자료 기준</x:v>
      </x:c>
      <x:c r="M17" s="15" t="str">
        <x:v>예</x:v>
      </x:c>
      <x:c r="N17" s="15" t="str">
        <x:v>57-3차 POD + 해당 원자료</x:v>
      </x:c>
      <x:c r="O17" s="15" t="str">
        <x:v>CASE 16</x:v>
      </x:c>
      <x:c r="P17" s="15" t="str">
        <x:v>/cases/case-016.html</x:v>
      </x:c>
    </x:row>
    <x:row r="18">
      <x:c r="A18" s="15" t="str">
        <x:v>CASE 17</x:v>
      </x:c>
      <x:c r="B18" s="15" t="str">
        <x:v>섬유공장 공기압축기 Utility 운전최적화</x:v>
      </x:c>
      <x:c r="C18" s="15" t="str">
        <x:v>제조공장</x:v>
      </x:c>
      <x:c r="D18" s="15" t="str">
        <x:v>저서 연계</x:v>
      </x:c>
      <x:c r="E18" s="15" t="str">
        <x:v>현 저서 수록</x:v>
      </x:c>
      <x:c r="F18" s="15" t="str">
        <x:v>BOOK/원자료</x:v>
      </x:c>
      <x:c r="G18" s="15" t="str">
        <x:v>해당 CASE 원자료 기준</x:v>
      </x:c>
      <x:c r="H18" s="15" t="str">
        <x:v>저서 CASE 목적 유지</x:v>
      </x:c>
      <x:c r="I18" s="15" t="str">
        <x:v>저서 CASE 방법 유지</x:v>
      </x:c>
      <x:c r="J18" s="15" t="str">
        <x:v>원자료 기준</x:v>
      </x:c>
      <x:c r="K18" s="15" t="str">
        <x:v>저서/원자료 기준</x:v>
      </x:c>
      <x:c r="L18" s="15" t="str">
        <x:v>저서/원자료 기준</x:v>
      </x:c>
      <x:c r="M18" s="15" t="str">
        <x:v>예</x:v>
      </x:c>
      <x:c r="N18" s="15" t="str">
        <x:v>57-3차 POD + 해당 원자료</x:v>
      </x:c>
      <x:c r="O18" s="15" t="str">
        <x:v>CASE 17</x:v>
      </x:c>
      <x:c r="P18" s="15" t="str">
        <x:v>/cases/case-017.html</x:v>
      </x:c>
    </x:row>
    <x:row r="19">
      <x:c r="A19" s="15" t="str">
        <x:v>CASE 18</x:v>
      </x:c>
      <x:c r="B19" s="15" t="str">
        <x:v>화학공장 저압·고압 공기압축기 UPI 진단 및 운전최적화</x:v>
      </x:c>
      <x:c r="C19" s="15" t="str">
        <x:v>제조공장</x:v>
      </x:c>
      <x:c r="D19" s="15" t="str">
        <x:v>저서 연계</x:v>
      </x:c>
      <x:c r="E19" s="15" t="str">
        <x:v>현 저서 수록</x:v>
      </x:c>
      <x:c r="F19" s="15" t="str">
        <x:v>BOOK/원자료</x:v>
      </x:c>
      <x:c r="G19" s="15" t="str">
        <x:v>해당 CASE 원자료 기준</x:v>
      </x:c>
      <x:c r="H19" s="15" t="str">
        <x:v>저서 CASE 목적 유지</x:v>
      </x:c>
      <x:c r="I19" s="15" t="str">
        <x:v>저서 CASE 방법 유지</x:v>
      </x:c>
      <x:c r="J19" s="15" t="str">
        <x:v>원자료 기준</x:v>
      </x:c>
      <x:c r="K19" s="15" t="str">
        <x:v>저서/원자료 기준</x:v>
      </x:c>
      <x:c r="L19" s="15" t="str">
        <x:v>저서/원자료 기준</x:v>
      </x:c>
      <x:c r="M19" s="15" t="str">
        <x:v>예</x:v>
      </x:c>
      <x:c r="N19" s="15" t="str">
        <x:v>57-3차 POD + 해당 원자료</x:v>
      </x:c>
      <x:c r="O19" s="15" t="str">
        <x:v>CASE 18</x:v>
      </x:c>
      <x:c r="P19" s="15" t="str">
        <x:v>/cases/case-018.html</x:v>
      </x:c>
    </x:row>
    <x:row r="20">
      <x:c r="A20" s="15" t="str">
        <x:v>CASE 19</x:v>
      </x:c>
      <x:c r="B20" s="15" t="str">
        <x:v>대형 화학공장 냉동·압축공기·보일러 통합 Utility 운전최적화</x:v>
      </x:c>
      <x:c r="C20" s="15" t="str">
        <x:v>제조공장</x:v>
      </x:c>
      <x:c r="D20" s="15" t="str">
        <x:v>저서 연계</x:v>
      </x:c>
      <x:c r="E20" s="15" t="str">
        <x:v>현 저서 수록</x:v>
      </x:c>
      <x:c r="F20" s="15" t="str">
        <x:v>BOOK/원자료</x:v>
      </x:c>
      <x:c r="G20" s="15" t="str">
        <x:v>해당 CASE 원자료 기준</x:v>
      </x:c>
      <x:c r="H20" s="15" t="str">
        <x:v>저서 CASE 목적 유지</x:v>
      </x:c>
      <x:c r="I20" s="15" t="str">
        <x:v>저서 CASE 방법 유지</x:v>
      </x:c>
      <x:c r="J20" s="15" t="str">
        <x:v>원자료 기준</x:v>
      </x:c>
      <x:c r="K20" s="15" t="str">
        <x:v>저서/원자료 기준</x:v>
      </x:c>
      <x:c r="L20" s="15" t="str">
        <x:v>저서/원자료 기준</x:v>
      </x:c>
      <x:c r="M20" s="15" t="str">
        <x:v>예</x:v>
      </x:c>
      <x:c r="N20" s="15" t="str">
        <x:v>57-3차 POD + 해당 원자료</x:v>
      </x:c>
      <x:c r="O20" s="15" t="str">
        <x:v>CASE 19</x:v>
      </x:c>
      <x:c r="P20" s="15" t="str">
        <x:v>/cases/case-019.html</x:v>
      </x:c>
    </x:row>
    <x:row r="21">
      <x:c r="A21" s="15" t="str">
        <x:v>CASE 20</x:v>
      </x:c>
      <x:c r="B21" s="15" t="str">
        <x:v>철강 용해로 전력원단위·예열·조업시간·생산량 통합 운전최적화</x:v>
      </x:c>
      <x:c r="C21" s="15" t="str">
        <x:v>제조공장</x:v>
      </x:c>
      <x:c r="D21" s="15" t="str">
        <x:v>저서 연계</x:v>
      </x:c>
      <x:c r="E21" s="15" t="str">
        <x:v>현 저서 수록</x:v>
      </x:c>
      <x:c r="F21" s="15" t="str">
        <x:v>BOOK/원자료</x:v>
      </x:c>
      <x:c r="G21" s="15" t="str">
        <x:v>해당 CASE 원자료 기준</x:v>
      </x:c>
      <x:c r="H21" s="15" t="str">
        <x:v>저서 CASE 목적 유지</x:v>
      </x:c>
      <x:c r="I21" s="15" t="str">
        <x:v>저서 CASE 방법 유지</x:v>
      </x:c>
      <x:c r="J21" s="15" t="str">
        <x:v>원자료 기준</x:v>
      </x:c>
      <x:c r="K21" s="15" t="str">
        <x:v>저서/원자료 기준</x:v>
      </x:c>
      <x:c r="L21" s="15" t="str">
        <x:v>저서/원자료 기준</x:v>
      </x:c>
      <x:c r="M21" s="15" t="str">
        <x:v>예</x:v>
      </x:c>
      <x:c r="N21" s="15" t="str">
        <x:v>57-3차 POD + 해당 원자료</x:v>
      </x:c>
      <x:c r="O21" s="15" t="str">
        <x:v>CASE 20</x:v>
      </x:c>
      <x:c r="P21" s="15" t="str">
        <x:v>/cases/case-020.html</x:v>
      </x:c>
    </x:row>
    <x:row r="22">
      <x:c r="A22" s="15" t="str">
        <x:v>CASE 21</x:v>
      </x:c>
      <x:c r="B22" s="15" t="str">
        <x:v>일관제철소 산소공장 압축기 원단위·최적 가동 대수·실시간 운전최적화</x:v>
      </x:c>
      <x:c r="C22" s="15" t="str">
        <x:v>제조공장</x:v>
      </x:c>
      <x:c r="D22" s="15" t="str">
        <x:v>저서 연계</x:v>
      </x:c>
      <x:c r="E22" s="15" t="str">
        <x:v>현 저서 수록</x:v>
      </x:c>
      <x:c r="F22" s="15" t="str">
        <x:v>BOOK/원자료</x:v>
      </x:c>
      <x:c r="G22" s="15" t="str">
        <x:v>해당 CASE 원자료 기준</x:v>
      </x:c>
      <x:c r="H22" s="15" t="str">
        <x:v>저서 CASE 목적 유지</x:v>
      </x:c>
      <x:c r="I22" s="15" t="str">
        <x:v>저서 CASE 방법 유지</x:v>
      </x:c>
      <x:c r="J22" s="15" t="str">
        <x:v>원자료 기준</x:v>
      </x:c>
      <x:c r="K22" s="15" t="str">
        <x:v>저서/원자료 기준</x:v>
      </x:c>
      <x:c r="L22" s="15" t="str">
        <x:v>저서/원자료 기준</x:v>
      </x:c>
      <x:c r="M22" s="15" t="str">
        <x:v>예</x:v>
      </x:c>
      <x:c r="N22" s="15" t="str">
        <x:v>57-3차 POD + 해당 원자료</x:v>
      </x:c>
      <x:c r="O22" s="15" t="str">
        <x:v>CASE 21</x:v>
      </x:c>
      <x:c r="P22" s="15" t="str">
        <x:v>/cases/case-021.html</x:v>
      </x:c>
    </x:row>
    <x:row r="23">
      <x:c r="A23" s="15" t="str">
        <x:v>CASE 22</x:v>
      </x:c>
      <x:c r="B23" s="15" t="str">
        <x:v>일관제철소 고로 대형송풍기 전력원단위·송풍압력·IGV 운전최적화</x:v>
      </x:c>
      <x:c r="C23" s="15" t="str">
        <x:v>제조공장</x:v>
      </x:c>
      <x:c r="D23" s="15" t="str">
        <x:v>저서 연계</x:v>
      </x:c>
      <x:c r="E23" s="15" t="str">
        <x:v>현 저서 수록</x:v>
      </x:c>
      <x:c r="F23" s="15" t="str">
        <x:v>BOOK/원자료</x:v>
      </x:c>
      <x:c r="G23" s="15" t="str">
        <x:v>해당 CASE 원자료 기준</x:v>
      </x:c>
      <x:c r="H23" s="15" t="str">
        <x:v>저서 CASE 목적 유지</x:v>
      </x:c>
      <x:c r="I23" s="15" t="str">
        <x:v>저서 CASE 방법 유지</x:v>
      </x:c>
      <x:c r="J23" s="15" t="str">
        <x:v>원자료 기준</x:v>
      </x:c>
      <x:c r="K23" s="15" t="str">
        <x:v>저서/원자료 기준</x:v>
      </x:c>
      <x:c r="L23" s="15" t="str">
        <x:v>저서/원자료 기준</x:v>
      </x:c>
      <x:c r="M23" s="15" t="str">
        <x:v>예</x:v>
      </x:c>
      <x:c r="N23" s="15" t="str">
        <x:v>57-3차 POD + 해당 원자료</x:v>
      </x:c>
      <x:c r="O23" s="15" t="str">
        <x:v>CASE 22</x:v>
      </x:c>
      <x:c r="P23" s="15" t="str">
        <x:v>/cases/case-022.html</x:v>
      </x:c>
    </x:row>
    <x:row r="24">
      <x:c r="A24" s="15" t="str">
        <x:v>CASE 23</x:v>
      </x:c>
      <x:c r="B24" s="15" t="str">
        <x:v>비철금속 제련 Fumer 원료배합·연료·산소 통합 에너지 최적화</x:v>
      </x:c>
      <x:c r="C24" s="15" t="str">
        <x:v>제조공장</x:v>
      </x:c>
      <x:c r="D24" s="15" t="str">
        <x:v>저서 연계</x:v>
      </x:c>
      <x:c r="E24" s="15" t="str">
        <x:v>현 저서 수록</x:v>
      </x:c>
      <x:c r="F24" s="15" t="str">
        <x:v>BOOK/원자료</x:v>
      </x:c>
      <x:c r="G24" s="15" t="str">
        <x:v>해당 CASE 원자료 기준</x:v>
      </x:c>
      <x:c r="H24" s="15" t="str">
        <x:v>저서 CASE 목적 유지</x:v>
      </x:c>
      <x:c r="I24" s="15" t="str">
        <x:v>저서 CASE 방법 유지</x:v>
      </x:c>
      <x:c r="J24" s="15" t="str">
        <x:v>원자료 기준</x:v>
      </x:c>
      <x:c r="K24" s="15" t="str">
        <x:v>저서/원자료 기준</x:v>
      </x:c>
      <x:c r="L24" s="15" t="str">
        <x:v>저서/원자료 기준</x:v>
      </x:c>
      <x:c r="M24" s="15" t="str">
        <x:v>예</x:v>
      </x:c>
      <x:c r="N24" s="15" t="str">
        <x:v>57-3차 POD + 해당 원자료</x:v>
      </x:c>
      <x:c r="O24" s="15" t="str">
        <x:v>CASE 23</x:v>
      </x:c>
      <x:c r="P24" s="15" t="str">
        <x:v>/cases/case-023.html</x:v>
      </x:c>
    </x:row>
    <x:row r="25">
      <x:c r="A25" s="15" t="str">
        <x:v>CASE 24</x:v>
      </x:c>
      <x:c r="B25" s="15" t="str">
        <x:v>비철금속(구리) 제조공장 Utility 8% 절감 목표·Baseline·M&amp;V 설계</x:v>
      </x:c>
      <x:c r="C25" s="15" t="str">
        <x:v>제조공장</x:v>
      </x:c>
      <x:c r="D25" s="15" t="str">
        <x:v>저서 연계</x:v>
      </x:c>
      <x:c r="E25" s="15" t="str">
        <x:v>현 저서 수록</x:v>
      </x:c>
      <x:c r="F25" s="15" t="str">
        <x:v>BOOK/원자료</x:v>
      </x:c>
      <x:c r="G25" s="15" t="str">
        <x:v>해당 CASE 원자료 기준</x:v>
      </x:c>
      <x:c r="H25" s="15" t="str">
        <x:v>저서 CASE 목적 유지</x:v>
      </x:c>
      <x:c r="I25" s="15" t="str">
        <x:v>저서 CASE 방법 유지</x:v>
      </x:c>
      <x:c r="J25" s="15" t="str">
        <x:v>원자료 기준</x:v>
      </x:c>
      <x:c r="K25" s="15" t="str">
        <x:v>저서/원자료 기준</x:v>
      </x:c>
      <x:c r="L25" s="15" t="str">
        <x:v>저서/원자료 기준</x:v>
      </x:c>
      <x:c r="M25" s="15" t="str">
        <x:v>예</x:v>
      </x:c>
      <x:c r="N25" s="15" t="str">
        <x:v>57-3차 POD + 해당 원자료</x:v>
      </x:c>
      <x:c r="O25" s="15" t="str">
        <x:v>CASE 24</x:v>
      </x:c>
      <x:c r="P25" s="15" t="str">
        <x:v>/cases/case-024.html</x:v>
      </x:c>
    </x:row>
    <x:row r="26">
      <x:c r="A26" s="15" t="str">
        <x:v>CASE 25</x:v>
      </x:c>
      <x:c r="B26" s="15" t="str">
        <x:v>흑연·2차전지 원료 제조공장 공기압축기 UPI·가동 대수·Loading/Unloading 운전최적화</x:v>
      </x:c>
      <x:c r="C26" s="15" t="str">
        <x:v>제조공장</x:v>
      </x:c>
      <x:c r="D26" s="15" t="str">
        <x:v>저서 연계</x:v>
      </x:c>
      <x:c r="E26" s="15" t="str">
        <x:v>현 저서 수록</x:v>
      </x:c>
      <x:c r="F26" s="15" t="str">
        <x:v>BOOK/원자료</x:v>
      </x:c>
      <x:c r="G26" s="15" t="str">
        <x:v>해당 CASE 원자료 기준</x:v>
      </x:c>
      <x:c r="H26" s="15" t="str">
        <x:v>저서 CASE 목적 유지</x:v>
      </x:c>
      <x:c r="I26" s="15" t="str">
        <x:v>저서 CASE 방법 유지</x:v>
      </x:c>
      <x:c r="J26" s="15" t="str">
        <x:v>원자료 기준</x:v>
      </x:c>
      <x:c r="K26" s="15" t="str">
        <x:v>저서/원자료 기준</x:v>
      </x:c>
      <x:c r="L26" s="15" t="str">
        <x:v>저서/원자료 기준</x:v>
      </x:c>
      <x:c r="M26" s="15" t="str">
        <x:v>예</x:v>
      </x:c>
      <x:c r="N26" s="15" t="str">
        <x:v>57-3차 POD + 해당 원자료</x:v>
      </x:c>
      <x:c r="O26" s="15" t="str">
        <x:v>CASE 25</x:v>
      </x:c>
      <x:c r="P26" s="15" t="str">
        <x:v>/cases/case-025.html</x:v>
      </x:c>
    </x:row>
    <x:row r="27">
      <x:c r="A27" s="15" t="str">
        <x:v>CASE 26</x:v>
      </x:c>
      <x:c r="B27" s="15" t="str">
        <x:v>대형 하수처리장 유입펌프 교체 전·후 유량대비 전력효율 검증</x:v>
      </x:c>
      <x:c r="C27" s="15" t="str">
        <x:v>제조공장</x:v>
      </x:c>
      <x:c r="D27" s="15" t="str">
        <x:v>저서 연계</x:v>
      </x:c>
      <x:c r="E27" s="15" t="str">
        <x:v>현 저서 수록</x:v>
      </x:c>
      <x:c r="F27" s="15" t="str">
        <x:v>BOOK/원자료</x:v>
      </x:c>
      <x:c r="G27" s="15" t="str">
        <x:v>해당 CASE 원자료 기준</x:v>
      </x:c>
      <x:c r="H27" s="15" t="str">
        <x:v>저서 CASE 목적 유지</x:v>
      </x:c>
      <x:c r="I27" s="15" t="str">
        <x:v>저서 CASE 방법 유지</x:v>
      </x:c>
      <x:c r="J27" s="15" t="str">
        <x:v>원자료 기준</x:v>
      </x:c>
      <x:c r="K27" s="15" t="str">
        <x:v>저서/원자료 기준</x:v>
      </x:c>
      <x:c r="L27" s="15" t="str">
        <x:v>저서/원자료 기준</x:v>
      </x:c>
      <x:c r="M27" s="15" t="str">
        <x:v>예</x:v>
      </x:c>
      <x:c r="N27" s="15" t="str">
        <x:v>57-3차 POD + 해당 원자료</x:v>
      </x:c>
      <x:c r="O27" s="15" t="str">
        <x:v>CASE 26</x:v>
      </x:c>
      <x:c r="P27" s="15" t="str">
        <x:v>/cases/case-026.html</x:v>
      </x:c>
    </x:row>
    <x:row r="28">
      <x:c r="A28" s="15" t="str">
        <x:v>CASE 27</x:v>
      </x:c>
      <x:c r="B28" s="15" t="str">
        <x:v>대형 송수 펌프시스템 원단위·필요대수·배수지 수위·Peak 통합 최적화</x:v>
      </x:c>
      <x:c r="C28" s="15" t="str">
        <x:v>제조공장</x:v>
      </x:c>
      <x:c r="D28" s="15" t="str">
        <x:v>저서 연계</x:v>
      </x:c>
      <x:c r="E28" s="15" t="str">
        <x:v>현 저서 수록</x:v>
      </x:c>
      <x:c r="F28" s="15" t="str">
        <x:v>BOOK/원자료</x:v>
      </x:c>
      <x:c r="G28" s="15" t="str">
        <x:v>해당 CASE 원자료 기준</x:v>
      </x:c>
      <x:c r="H28" s="15" t="str">
        <x:v>저서 CASE 목적 유지</x:v>
      </x:c>
      <x:c r="I28" s="15" t="str">
        <x:v>저서 CASE 방법 유지</x:v>
      </x:c>
      <x:c r="J28" s="15" t="str">
        <x:v>원자료 기준</x:v>
      </x:c>
      <x:c r="K28" s="15" t="str">
        <x:v>저서/원자료 기준</x:v>
      </x:c>
      <x:c r="L28" s="15" t="str">
        <x:v>저서/원자료 기준</x:v>
      </x:c>
      <x:c r="M28" s="15" t="str">
        <x:v>예</x:v>
      </x:c>
      <x:c r="N28" s="15" t="str">
        <x:v>57-3차 POD + 해당 원자료</x:v>
      </x:c>
      <x:c r="O28" s="15" t="str">
        <x:v>CASE 27</x:v>
      </x:c>
      <x:c r="P28" s="15" t="str">
        <x:v>/cases/case-027.html</x:v>
      </x:c>
    </x:row>
    <x:row r="29">
      <x:c r="A29" s="15" t="str">
        <x:v>CASE 28</x:v>
      </x:c>
      <x:c r="B29" s="15" t="str">
        <x:v>대형 부생가스 발전소 소내전력률·펌프·팬 통합 운전최적화</x:v>
      </x:c>
      <x:c r="C29" s="15" t="str">
        <x:v>제조공장</x:v>
      </x:c>
      <x:c r="D29" s="15" t="str">
        <x:v>저서 연계</x:v>
      </x:c>
      <x:c r="E29" s="15" t="str">
        <x:v>현 저서 수록</x:v>
      </x:c>
      <x:c r="F29" s="15" t="str">
        <x:v>BOOK/원자료</x:v>
      </x:c>
      <x:c r="G29" s="15" t="str">
        <x:v>해당 CASE 원자료 기준</x:v>
      </x:c>
      <x:c r="H29" s="15" t="str">
        <x:v>저서 CASE 목적 유지</x:v>
      </x:c>
      <x:c r="I29" s="15" t="str">
        <x:v>저서 CASE 방법 유지</x:v>
      </x:c>
      <x:c r="J29" s="15" t="str">
        <x:v>원자료 기준</x:v>
      </x:c>
      <x:c r="K29" s="15" t="str">
        <x:v>저서/원자료 기준</x:v>
      </x:c>
      <x:c r="L29" s="15" t="str">
        <x:v>저서/원자료 기준</x:v>
      </x:c>
      <x:c r="M29" s="15" t="str">
        <x:v>예</x:v>
      </x:c>
      <x:c r="N29" s="15" t="str">
        <x:v>57-3차 POD + 해당 원자료</x:v>
      </x:c>
      <x:c r="O29" s="15" t="str">
        <x:v>CASE 28</x:v>
      </x:c>
      <x:c r="P29" s="15" t="str">
        <x:v>/cases/case-028.html</x:v>
      </x:c>
    </x:row>
    <x:row r="30">
      <x:c r="A30" s="15" t="str">
        <x:v>CASE 29</x:v>
      </x:c>
      <x:c r="B30" s="15" t="str">
        <x:v>LEED-EB 인증 대응 ASHRAE Level II 대형건물 에너지진단</x:v>
      </x:c>
      <x:c r="C30" s="15" t="str">
        <x:v>친환경건축</x:v>
      </x:c>
      <x:c r="D30" s="15" t="str">
        <x:v>저서 연계</x:v>
      </x:c>
      <x:c r="E30" s="15" t="str">
        <x:v>현 저서 수록</x:v>
      </x:c>
      <x:c r="F30" s="15" t="str">
        <x:v>BOOK/원자료</x:v>
      </x:c>
      <x:c r="G30" s="15" t="str">
        <x:v>해당 CASE 원자료 기준</x:v>
      </x:c>
      <x:c r="H30" s="15" t="str">
        <x:v>저서 CASE 목적 유지</x:v>
      </x:c>
      <x:c r="I30" s="15" t="str">
        <x:v>저서 CASE 방법 유지</x:v>
      </x:c>
      <x:c r="J30" s="15" t="str">
        <x:v>원자료 기준</x:v>
      </x:c>
      <x:c r="K30" s="15" t="str">
        <x:v>저서/원자료 기준</x:v>
      </x:c>
      <x:c r="L30" s="15" t="str">
        <x:v>저서/원자료 기준</x:v>
      </x:c>
      <x:c r="M30" s="15" t="str">
        <x:v>예</x:v>
      </x:c>
      <x:c r="N30" s="15" t="str">
        <x:v>57-3차 POD + 해당 원자료</x:v>
      </x:c>
      <x:c r="O30" s="15" t="str">
        <x:v>CASE 29</x:v>
      </x:c>
      <x:c r="P30" s="15" t="str">
        <x:v>/cases/case-029.html</x:v>
      </x:c>
    </x:row>
    <x:row r="31">
      <x:c r="A31" s="15" t="str">
        <x:v>CASE 30</x:v>
      </x:c>
      <x:c r="B31" s="15" t="str">
        <x:v>기존 대형건물 리모델링 설비성능진단·에너지투자 최적화</x:v>
      </x:c>
      <x:c r="C31" s="15" t="str">
        <x:v>건물</x:v>
      </x:c>
      <x:c r="D31" s="15" t="str">
        <x:v>저서 연계</x:v>
      </x:c>
      <x:c r="E31" s="15" t="str">
        <x:v>현 저서 수록</x:v>
      </x:c>
      <x:c r="F31" s="15" t="str">
        <x:v>BOOK/원자료</x:v>
      </x:c>
      <x:c r="G31" s="15" t="str">
        <x:v>해당 CASE 원자료 기준</x:v>
      </x:c>
      <x:c r="H31" s="15" t="str">
        <x:v>저서 CASE 목적 유지</x:v>
      </x:c>
      <x:c r="I31" s="15" t="str">
        <x:v>저서 CASE 방법 유지</x:v>
      </x:c>
      <x:c r="J31" s="15" t="str">
        <x:v>원자료 기준</x:v>
      </x:c>
      <x:c r="K31" s="15" t="str">
        <x:v>저서/원자료 기준</x:v>
      </x:c>
      <x:c r="L31" s="15" t="str">
        <x:v>저서/원자료 기준</x:v>
      </x:c>
      <x:c r="M31" s="15" t="str">
        <x:v>예</x:v>
      </x:c>
      <x:c r="N31" s="15" t="str">
        <x:v>57-3차 POD + 해당 원자료</x:v>
      </x:c>
      <x:c r="O31" s="15" t="str">
        <x:v>CASE 30</x:v>
      </x:c>
      <x:c r="P31" s="15" t="str">
        <x:v>/cases/case-030.html</x:v>
      </x:c>
    </x:row>
    <x:row r="32">
      <x:c r="A32" s="15" t="str">
        <x:v>CASE 31</x:v>
      </x:c>
      <x:c r="B32" s="15" t="str">
        <x:v>기존 대형건물 정밀 에너지진단·운전최적화 및 ESCO 투자</x:v>
      </x:c>
      <x:c r="C32" s="15" t="str">
        <x:v>건물</x:v>
      </x:c>
      <x:c r="D32" s="15" t="str">
        <x:v>저서 연계</x:v>
      </x:c>
      <x:c r="E32" s="15" t="str">
        <x:v>현 저서 수록</x:v>
      </x:c>
      <x:c r="F32" s="15" t="str">
        <x:v>BOOK/원자료</x:v>
      </x:c>
      <x:c r="G32" s="15" t="str">
        <x:v>해당 CASE 원자료 기준</x:v>
      </x:c>
      <x:c r="H32" s="15" t="str">
        <x:v>저서 CASE 목적 유지</x:v>
      </x:c>
      <x:c r="I32" s="15" t="str">
        <x:v>저서 CASE 방법 유지</x:v>
      </x:c>
      <x:c r="J32" s="15" t="str">
        <x:v>원자료 기준</x:v>
      </x:c>
      <x:c r="K32" s="15" t="str">
        <x:v>저서/원자료 기준</x:v>
      </x:c>
      <x:c r="L32" s="15" t="str">
        <x:v>저서/원자료 기준</x:v>
      </x:c>
      <x:c r="M32" s="15" t="str">
        <x:v>예</x:v>
      </x:c>
      <x:c r="N32" s="15" t="str">
        <x:v>57-3차 POD + 해당 원자료</x:v>
      </x:c>
      <x:c r="O32" s="15" t="str">
        <x:v>CASE 31</x:v>
      </x:c>
      <x:c r="P32" s="15" t="str">
        <x:v>/cases/case-031.html</x:v>
      </x:c>
    </x:row>
    <x:row r="33">
      <x:c r="A33" s="15" t="str">
        <x:v>CASE 32</x:v>
      </x:c>
      <x:c r="B33" s="15" t="str">
        <x:v>15분 전력데이터 기반 대형 사찰 에너지 소비패턴 분석</x:v>
      </x:c>
      <x:c r="C33" s="15" t="str">
        <x:v>건물</x:v>
      </x:c>
      <x:c r="D33" s="15" t="str">
        <x:v>저서 연계</x:v>
      </x:c>
      <x:c r="E33" s="15" t="str">
        <x:v>현 저서 수록</x:v>
      </x:c>
      <x:c r="F33" s="15" t="str">
        <x:v>BOOK/원자료</x:v>
      </x:c>
      <x:c r="G33" s="15" t="str">
        <x:v>해당 CASE 원자료 기준</x:v>
      </x:c>
      <x:c r="H33" s="15" t="str">
        <x:v>저서 CASE 목적 유지</x:v>
      </x:c>
      <x:c r="I33" s="15" t="str">
        <x:v>저서 CASE 방법 유지</x:v>
      </x:c>
      <x:c r="J33" s="15" t="str">
        <x:v>원자료 기준</x:v>
      </x:c>
      <x:c r="K33" s="15" t="str">
        <x:v>저서/원자료 기준</x:v>
      </x:c>
      <x:c r="L33" s="15" t="str">
        <x:v>저서/원자료 기준</x:v>
      </x:c>
      <x:c r="M33" s="15" t="str">
        <x:v>예</x:v>
      </x:c>
      <x:c r="N33" s="15" t="str">
        <x:v>57-3차 POD + 해당 원자료</x:v>
      </x:c>
      <x:c r="O33" s="15" t="str">
        <x:v>CASE 32</x:v>
      </x:c>
      <x:c r="P33" s="15" t="str">
        <x:v>/cases/case-032.html</x:v>
      </x:c>
    </x:row>
    <x:row r="34">
      <x:c r="A34" s="15" t="str">
        <x:v>CASE 33</x:v>
      </x:c>
      <x:c r="B34" s="15" t="str">
        <x:v>대형건물 BEMS 기반 에너지진단·관리모델 설계</x:v>
      </x:c>
      <x:c r="C34" s="15" t="str">
        <x:v>건물</x:v>
      </x:c>
      <x:c r="D34" s="15" t="str">
        <x:v>저서 연계</x:v>
      </x:c>
      <x:c r="E34" s="15" t="str">
        <x:v>현 저서 수록</x:v>
      </x:c>
      <x:c r="F34" s="15" t="str">
        <x:v>BOOK/원자료</x:v>
      </x:c>
      <x:c r="G34" s="15" t="str">
        <x:v>해당 CASE 원자료 기준</x:v>
      </x:c>
      <x:c r="H34" s="15" t="str">
        <x:v>저서 CASE 목적 유지</x:v>
      </x:c>
      <x:c r="I34" s="15" t="str">
        <x:v>저서 CASE 방법 유지</x:v>
      </x:c>
      <x:c r="J34" s="15" t="str">
        <x:v>원자료 기준</x:v>
      </x:c>
      <x:c r="K34" s="15" t="str">
        <x:v>저서/원자료 기준</x:v>
      </x:c>
      <x:c r="L34" s="15" t="str">
        <x:v>저서/원자료 기준</x:v>
      </x:c>
      <x:c r="M34" s="15" t="str">
        <x:v>예</x:v>
      </x:c>
      <x:c r="N34" s="15" t="str">
        <x:v>57-3차 POD + 해당 원자료</x:v>
      </x:c>
      <x:c r="O34" s="15" t="str">
        <x:v>CASE 33</x:v>
      </x:c>
      <x:c r="P34" s="15" t="str">
        <x:v>/cases/case-033.html</x:v>
      </x:c>
    </x:row>
    <x:row r="35">
      <x:c r="A35" s="15" t="str">
        <x:v>CASE 34</x:v>
      </x:c>
      <x:c r="B35" s="15" t="str">
        <x:v>초고층 복합건물 BEMS 데이터 기반 BPOS 운전최적화</x:v>
      </x:c>
      <x:c r="C35" s="15" t="str">
        <x:v>건물</x:v>
      </x:c>
      <x:c r="D35" s="15" t="str">
        <x:v>저서 연계</x:v>
      </x:c>
      <x:c r="E35" s="15" t="str">
        <x:v>현 저서 수록</x:v>
      </x:c>
      <x:c r="F35" s="15" t="str">
        <x:v>BOOK/원자료</x:v>
      </x:c>
      <x:c r="G35" s="15" t="str">
        <x:v>해당 CASE 원자료 기준</x:v>
      </x:c>
      <x:c r="H35" s="15" t="str">
        <x:v>저서 CASE 목적 유지</x:v>
      </x:c>
      <x:c r="I35" s="15" t="str">
        <x:v>저서 CASE 방법 유지</x:v>
      </x:c>
      <x:c r="J35" s="15" t="str">
        <x:v>원자료 기준</x:v>
      </x:c>
      <x:c r="K35" s="15" t="str">
        <x:v>저서/원자료 기준</x:v>
      </x:c>
      <x:c r="L35" s="15" t="str">
        <x:v>저서/원자료 기준</x:v>
      </x:c>
      <x:c r="M35" s="15" t="str">
        <x:v>예</x:v>
      </x:c>
      <x:c r="N35" s="15" t="str">
        <x:v>57-3차 POD + 해당 원자료</x:v>
      </x:c>
      <x:c r="O35" s="15" t="str">
        <x:v>CASE 34</x:v>
      </x:c>
      <x:c r="P35" s="15" t="str">
        <x:v>/cases/case-034.html</x:v>
      </x:c>
    </x:row>
    <x:row r="36">
      <x:c r="A36" s="15" t="str">
        <x:v>CASE 35</x:v>
      </x:c>
      <x:c r="B36" s="15" t="str">
        <x:v>신축 대형 복합건물 LEED Performance Rating 에너지모델링</x:v>
      </x:c>
      <x:c r="C36" s="15" t="str">
        <x:v>친환경건축</x:v>
      </x:c>
      <x:c r="D36" s="15" t="str">
        <x:v>저서 연계</x:v>
      </x:c>
      <x:c r="E36" s="15" t="str">
        <x:v>현 저서 수록</x:v>
      </x:c>
      <x:c r="F36" s="15" t="str">
        <x:v>BOOK/원자료</x:v>
      </x:c>
      <x:c r="G36" s="15" t="str">
        <x:v>해당 CASE 원자료 기준</x:v>
      </x:c>
      <x:c r="H36" s="15" t="str">
        <x:v>저서 CASE 목적 유지</x:v>
      </x:c>
      <x:c r="I36" s="15" t="str">
        <x:v>저서 CASE 방법 유지</x:v>
      </x:c>
      <x:c r="J36" s="15" t="str">
        <x:v>원자료 기준</x:v>
      </x:c>
      <x:c r="K36" s="15" t="str">
        <x:v>저서/원자료 기준</x:v>
      </x:c>
      <x:c r="L36" s="15" t="str">
        <x:v>저서/원자료 기준</x:v>
      </x:c>
      <x:c r="M36" s="15" t="str">
        <x:v>예</x:v>
      </x:c>
      <x:c r="N36" s="15" t="str">
        <x:v>57-3차 POD + 해당 원자료</x:v>
      </x:c>
      <x:c r="O36" s="15" t="str">
        <x:v>CASE 35</x:v>
      </x:c>
      <x:c r="P36" s="15" t="str">
        <x:v>/cases/case-035.html</x:v>
      </x:c>
    </x:row>
    <x:row r="37">
      <x:c r="A37" s="15" t="str">
        <x:v>CASE 36</x:v>
      </x:c>
      <x:c r="B37" s="15" t="str">
        <x:v>신축 대형 복합건물 DOE-2.1E 설계검토 에너지 시뮬레이션</x:v>
      </x:c>
      <x:c r="C37" s="15" t="str">
        <x:v>친환경건축</x:v>
      </x:c>
      <x:c r="D37" s="15" t="str">
        <x:v>저서 연계</x:v>
      </x:c>
      <x:c r="E37" s="15" t="str">
        <x:v>현 저서 수록</x:v>
      </x:c>
      <x:c r="F37" s="15" t="str">
        <x:v>BOOK/원자료</x:v>
      </x:c>
      <x:c r="G37" s="15" t="str">
        <x:v>해당 CASE 원자료 기준</x:v>
      </x:c>
      <x:c r="H37" s="15" t="str">
        <x:v>저서 CASE 목적 유지</x:v>
      </x:c>
      <x:c r="I37" s="15" t="str">
        <x:v>저서 CASE 방법 유지</x:v>
      </x:c>
      <x:c r="J37" s="15" t="str">
        <x:v>원자료 기준</x:v>
      </x:c>
      <x:c r="K37" s="15" t="str">
        <x:v>저서/원자료 기준</x:v>
      </x:c>
      <x:c r="L37" s="15" t="str">
        <x:v>저서/원자료 기준</x:v>
      </x:c>
      <x:c r="M37" s="15" t="str">
        <x:v>예</x:v>
      </x:c>
      <x:c r="N37" s="15" t="str">
        <x:v>57-3차 POD + 해당 원자료</x:v>
      </x:c>
      <x:c r="O37" s="15" t="str">
        <x:v>CASE 36</x:v>
      </x:c>
      <x:c r="P37" s="15" t="str">
        <x:v>/cases/case-036.html</x:v>
      </x:c>
    </x:row>
    <x:row r="38">
      <x:c r="A38" s="15" t="str">
        <x:v>CASE 37</x:v>
      </x:c>
      <x:c r="B38" s="15" t="str">
        <x:v>시간단위 Solar Radiation Simulation을 이용한 태양광 설치조건 최적화</x:v>
      </x:c>
      <x:c r="C38" s="15" t="str">
        <x:v>친환경건축</x:v>
      </x:c>
      <x:c r="D38" s="15" t="str">
        <x:v>저서 연계</x:v>
      </x:c>
      <x:c r="E38" s="15" t="str">
        <x:v>현 저서 수록</x:v>
      </x:c>
      <x:c r="F38" s="15" t="str">
        <x:v>BOOK/원자료</x:v>
      </x:c>
      <x:c r="G38" s="15" t="str">
        <x:v>해당 CASE 원자료 기준</x:v>
      </x:c>
      <x:c r="H38" s="15" t="str">
        <x:v>저서 CASE 목적 유지</x:v>
      </x:c>
      <x:c r="I38" s="15" t="str">
        <x:v>저서 CASE 방법 유지</x:v>
      </x:c>
      <x:c r="J38" s="15" t="str">
        <x:v>원자료 기준</x:v>
      </x:c>
      <x:c r="K38" s="15" t="str">
        <x:v>저서/원자료 기준</x:v>
      </x:c>
      <x:c r="L38" s="15" t="str">
        <x:v>저서/원자료 기준</x:v>
      </x:c>
      <x:c r="M38" s="15" t="str">
        <x:v>예</x:v>
      </x:c>
      <x:c r="N38" s="15" t="str">
        <x:v>57-3차 POD + 해당 원자료</x:v>
      </x:c>
      <x:c r="O38" s="15" t="str">
        <x:v>CASE 37</x:v>
      </x:c>
      <x:c r="P38" s="15" t="str">
        <x:v>/cases/case-037.html</x:v>
      </x:c>
    </x:row>
    <x:row r="39">
      <x:c r="A39" s="15" t="str">
        <x:v>CASE 38</x:v>
      </x:c>
      <x:c r="B39" s="15" t="str">
        <x:v>다중 IDC 센터 PUE·냉방설비 데이터 분석과 EC Fan·외기냉방 최적화</x:v>
      </x:c>
      <x:c r="C39" s="15" t="str">
        <x:v>데이터센터</x:v>
      </x:c>
      <x:c r="D39" s="15" t="str">
        <x:v>저서 연계</x:v>
      </x:c>
      <x:c r="E39" s="15" t="str">
        <x:v>현 저서 수록</x:v>
      </x:c>
      <x:c r="F39" s="15" t="str">
        <x:v>BOOK/원자료</x:v>
      </x:c>
      <x:c r="G39" s="15" t="str">
        <x:v>해당 CASE 원자료 기준</x:v>
      </x:c>
      <x:c r="H39" s="15" t="str">
        <x:v>저서 CASE 목적 유지</x:v>
      </x:c>
      <x:c r="I39" s="15" t="str">
        <x:v>저서 CASE 방법 유지</x:v>
      </x:c>
      <x:c r="J39" s="15" t="str">
        <x:v>원자료 기준</x:v>
      </x:c>
      <x:c r="K39" s="15" t="str">
        <x:v>저서/원자료 기준</x:v>
      </x:c>
      <x:c r="L39" s="15" t="str">
        <x:v>저서/원자료 기준</x:v>
      </x:c>
      <x:c r="M39" s="15" t="str">
        <x:v>예</x:v>
      </x:c>
      <x:c r="N39" s="15" t="str">
        <x:v>57-3차 POD + 해당 원자료</x:v>
      </x:c>
      <x:c r="O39" s="15" t="str">
        <x:v>CASE 38</x:v>
      </x:c>
      <x:c r="P39" s="15" t="str">
        <x:v>/cases/case-038.html</x:v>
      </x:c>
    </x:row>
    <x:row r="40">
      <x:c r="A40" s="15" t="str">
        <x:v>CASE 39</x:v>
      </x:c>
      <x:c r="B40" s="15" t="str">
        <x:v>다중 데이터센터 PUE·냉방효율 실시간 진단 및 IPOS 성능최적화</x:v>
      </x:c>
      <x:c r="C40" s="15" t="str">
        <x:v>데이터센터</x:v>
      </x:c>
      <x:c r="D40" s="15" t="str">
        <x:v>저서 연계</x:v>
      </x:c>
      <x:c r="E40" s="15" t="str">
        <x:v>현 저서 수록</x:v>
      </x:c>
      <x:c r="F40" s="15" t="str">
        <x:v>BOOK/원자료</x:v>
      </x:c>
      <x:c r="G40" s="15" t="str">
        <x:v>해당 CASE 원자료 기준</x:v>
      </x:c>
      <x:c r="H40" s="15" t="str">
        <x:v>저서 CASE 목적 유지</x:v>
      </x:c>
      <x:c r="I40" s="15" t="str">
        <x:v>저서 CASE 방법 유지</x:v>
      </x:c>
      <x:c r="J40" s="15" t="str">
        <x:v>원자료 기준</x:v>
      </x:c>
      <x:c r="K40" s="15" t="str">
        <x:v>저서/원자료 기준</x:v>
      </x:c>
      <x:c r="L40" s="15" t="str">
        <x:v>저서/원자료 기준</x:v>
      </x:c>
      <x:c r="M40" s="15" t="str">
        <x:v>예</x:v>
      </x:c>
      <x:c r="N40" s="15" t="str">
        <x:v>57-3차 POD + 해당 원자료</x:v>
      </x:c>
      <x:c r="O40" s="15" t="str">
        <x:v>CASE 39</x:v>
      </x:c>
      <x:c r="P40" s="15" t="str">
        <x:v>/cases/case-039.html</x:v>
      </x:c>
    </x:row>
    <x:row r="41">
      <x:c r="A41" s="15" t="str">
        <x:v>CASE 40</x:v>
      </x:c>
      <x:c r="B41" s="15" t="str">
        <x:v>HDD Baseline 기반 지역난방 스마트 운전 최적화 및 절감 성과 검증</x:v>
      </x:c>
      <x:c r="C41" s="15" t="str">
        <x:v>지역난방·공동주택</x:v>
      </x:c>
      <x:c r="D41" s="15" t="str">
        <x:v>저서 연계</x:v>
      </x:c>
      <x:c r="E41" s="15" t="str">
        <x:v>현 저서 수록</x:v>
      </x:c>
      <x:c r="F41" s="15" t="str">
        <x:v>BOOK/원자료</x:v>
      </x:c>
      <x:c r="G41" s="15" t="str">
        <x:v>해당 CASE 원자료 기준</x:v>
      </x:c>
      <x:c r="H41" s="15" t="str">
        <x:v>저서 CASE 목적 유지</x:v>
      </x:c>
      <x:c r="I41" s="15" t="str">
        <x:v>저서 CASE 방법 유지</x:v>
      </x:c>
      <x:c r="J41" s="15" t="str">
        <x:v>원자료 기준</x:v>
      </x:c>
      <x:c r="K41" s="15" t="str">
        <x:v>저서/원자료 기준</x:v>
      </x:c>
      <x:c r="L41" s="15" t="str">
        <x:v>저서/원자료 기준</x:v>
      </x:c>
      <x:c r="M41" s="15" t="str">
        <x:v>예</x:v>
      </x:c>
      <x:c r="N41" s="15" t="str">
        <x:v>57-3차 POD + 해당 원자료</x:v>
      </x:c>
      <x:c r="O41" s="15" t="str">
        <x:v>CASE 40</x:v>
      </x:c>
      <x:c r="P41" s="15" t="str">
        <x:v>/cases/case-040.html</x:v>
      </x:c>
    </x:row>
    <x:row r="42">
      <x:c r="A42" s="15" t="str">
        <x:v>CASE 41</x:v>
      </x:c>
      <x:c r="B42" s="15" t="str">
        <x:v>지역난방 공급 수온·배관 열 손실·공급 펌프 통합 운전최적화</x:v>
      </x:c>
      <x:c r="C42" s="15" t="str">
        <x:v>지역난방·공동주택</x:v>
      </x:c>
      <x:c r="D42" s="15" t="str">
        <x:v>저서 연계</x:v>
      </x:c>
      <x:c r="E42" s="15" t="str">
        <x:v>현 저서 수록</x:v>
      </x:c>
      <x:c r="F42" s="15" t="str">
        <x:v>BOOK/원자료</x:v>
      </x:c>
      <x:c r="G42" s="15" t="str">
        <x:v>해당 CASE 원자료 기준</x:v>
      </x:c>
      <x:c r="H42" s="15" t="str">
        <x:v>저서 CASE 목적 유지</x:v>
      </x:c>
      <x:c r="I42" s="15" t="str">
        <x:v>저서 CASE 방법 유지</x:v>
      </x:c>
      <x:c r="J42" s="15" t="str">
        <x:v>원자료 기준</x:v>
      </x:c>
      <x:c r="K42" s="15" t="str">
        <x:v>저서/원자료 기준</x:v>
      </x:c>
      <x:c r="L42" s="15" t="str">
        <x:v>저서/원자료 기준</x:v>
      </x:c>
      <x:c r="M42" s="15" t="str">
        <x:v>예</x:v>
      </x:c>
      <x:c r="N42" s="15" t="str">
        <x:v>57-3차 POD + 해당 원자료</x:v>
      </x:c>
      <x:c r="O42" s="15" t="str">
        <x:v>CASE 41</x:v>
      </x:c>
      <x:c r="P42" s="15" t="str">
        <x:v>/cases/case-041.html</x:v>
      </x:c>
    </x:row>
    <x:row r="43">
      <x:c r="A43" s="15" t="str">
        <x:v>CASE 42</x:v>
      </x:c>
      <x:c r="B43" s="15" t="str">
        <x:v>반도체·디스플레이 제조시설 Utility 운전최적화와 실시간 효율관리 체계 구축</x:v>
      </x:c>
      <x:c r="C43" s="15" t="str">
        <x:v>제조공장</x:v>
      </x:c>
      <x:c r="D43" s="15" t="str">
        <x:v>홈페이지 확장</x:v>
      </x:c>
      <x:c r="E43" s="15" t="str">
        <x:v>홈페이지 확장 CASE</x:v>
      </x:c>
      <x:c r="F43" s="15" t="str">
        <x:v>LGD</x:v>
      </x:c>
      <x:c r="G43" s="15" t="str">
        <x:v>냉동기·공기압축기·보일러·Utility</x:v>
      </x:c>
      <x:c r="H43" s="15" t="str">
        <x:v>다사업장 Utility 효율관리·운전최적화</x:v>
      </x:c>
      <x:c r="I43" s="15" t="str">
        <x:v>UPI·운전밸런스·가동대수·설정값 분석</x:v>
      </x:c>
      <x:c r="J43" s="15" t="str">
        <x:v>B</x:v>
      </x:c>
      <x:c r="K43" s="15" t="str">
        <x:v>LGD 원자료에서 확인되는 분석·성과 수치만 사용</x:v>
      </x:c>
      <x:c r="L43" s="15" t="str">
        <x:v>LGD 프로젝트/사업장 및 해당 Utility 계측경계</x:v>
      </x:c>
      <x:c r="M43" s="15" t="str">
        <x:v>예</x:v>
      </x:c>
      <x:c r="N43" s="15" t="str">
        <x:v>LGD Source / 오늘 확정 자료</x:v>
      </x:c>
      <x:c r="O43" s="15" t="str">
        <x:v>CASE 11</x:v>
      </x:c>
      <x:c r="P43" s="15" t="str">
        <x:v>/cases/case-042-lgd-utility-efficiency-management.html</x:v>
      </x:c>
    </x:row>
    <x:row r="44">
      <x:c r="A44" s="15" t="str">
        <x:v>CASE 43</x:v>
      </x:c>
      <x:c r="B44" s="15" t="str">
        <x:v>냉동·공조·압축공기 통합 운전데이터 분석</x:v>
      </x:c>
      <x:c r="C44" s="15" t="str">
        <x:v>제조공장</x:v>
      </x:c>
      <x:c r="D44" s="15" t="str">
        <x:v>홈페이지 확장</x:v>
      </x:c>
      <x:c r="E44" s="15" t="str">
        <x:v>홈페이지 확장 CASE</x:v>
      </x:c>
      <x:c r="F44" s="15" t="str">
        <x:v>LGD</x:v>
      </x:c>
      <x:c r="G44" s="15" t="str">
        <x:v>냉동·공조·압축공기</x:v>
      </x:c>
      <x:c r="H44" s="15" t="str">
        <x:v>통합 Utility 운전상태 및 절감기회 분석</x:v>
      </x:c>
      <x:c r="I44" s="15" t="str">
        <x:v>실시간 운전데이터·수요공급 밸런스·효율 비교</x:v>
      </x:c>
      <x:c r="J44" s="15" t="str">
        <x:v>B</x:v>
      </x:c>
      <x:c r="K44" s="15" t="str">
        <x:v>LGD 통합 Utility 분석 원자료 기준</x:v>
      </x:c>
      <x:c r="L44" s="15" t="str">
        <x:v>LGD 해당 공장 Utility 계통 경계</x:v>
      </x:c>
      <x:c r="M44" s="15" t="str">
        <x:v>예</x:v>
      </x:c>
      <x:c r="N44" s="15" t="str">
        <x:v>LGD Source / 오늘 확정 자료</x:v>
      </x:c>
      <x:c r="O44" s="15" t="str">
        <x:v>CASE 12</x:v>
      </x:c>
      <x:c r="P44" s="15" t="str">
        <x:v>/cases/case-043-lgd-integrated-utility-analysis.html</x:v>
      </x:c>
    </x:row>
    <x:row r="45">
      <x:c r="A45" s="15" t="str">
        <x:v>CASE 44</x:v>
      </x:c>
      <x:c r="B45" s="15" t="str">
        <x:v>4개 생산시설 냉동기·공기압축기 UPI Benchmark 및 가동 대수 최적화</x:v>
      </x:c>
      <x:c r="C45" s="15" t="str">
        <x:v>제조공장</x:v>
      </x:c>
      <x:c r="D45" s="15" t="str">
        <x:v>홈페이지 확장</x:v>
      </x:c>
      <x:c r="E45" s="15" t="str">
        <x:v>홈페이지 확장 CASE</x:v>
      </x:c>
      <x:c r="F45" s="15" t="str">
        <x:v>LGD</x:v>
      </x:c>
      <x:c r="G45" s="15" t="str">
        <x:v>냉동기·공기압축기</x:v>
      </x:c>
      <x:c r="H45" s="15" t="str">
        <x:v>생산시설 간 UPI Benchmark와 필요 가동대수 최적화</x:v>
      </x:c>
      <x:c r="I45" s="15" t="str">
        <x:v>UPI 비교·성능순위·필요대수/실제가동대수 비교</x:v>
      </x:c>
      <x:c r="J45" s="15" t="str">
        <x:v>B/C</x:v>
      </x:c>
      <x:c r="K45" s="15" t="str">
        <x:v>LGD 4개 생산시설 Benchmark 원자료 기준</x:v>
      </x:c>
      <x:c r="L45" s="15" t="str">
        <x:v>비교대상 4개 생산시설의 냉동기·공기압축기 계통</x:v>
      </x:c>
      <x:c r="M45" s="15" t="str">
        <x:v>예</x:v>
      </x:c>
      <x:c r="N45" s="15" t="str">
        <x:v>LGD Source / 오늘 확정 자료</x:v>
      </x:c>
      <x:c r="O45" s="15" t="str">
        <x:v>CASE 13</x:v>
      </x:c>
      <x:c r="P45" s="15" t="str">
        <x:v>/cases/case-044-lgd-multisite-upi-benchmark.html</x:v>
      </x:c>
    </x:row>
    <x:row r="46">
      <x:c r="A46" s="15" t="str">
        <x:v>CASE 45</x:v>
      </x:c>
      <x:c r="B46" s="15" t="str">
        <x:v>반도체공장 Big-data 기반 Utility 운전최적화</x:v>
      </x:c>
      <x:c r="C46" s="15" t="str">
        <x:v>제조공장</x:v>
      </x:c>
      <x:c r="D46" s="15" t="str">
        <x:v>홈페이지 확장</x:v>
      </x:c>
      <x:c r="E46" s="15" t="str">
        <x:v>홈페이지 확장 CASE</x:v>
      </x:c>
      <x:c r="F46" s="15" t="str">
        <x:v>LGD</x:v>
      </x:c>
      <x:c r="G46" s="15" t="str">
        <x:v>냉동기·CDA·보일러·펌프 등 Utility</x:v>
      </x:c>
      <x:c r="H46" s="15" t="str">
        <x:v>Big-data 기반 Utility 수요·공급 및 운전밸런스 최적화</x:v>
      </x:c>
      <x:c r="I46" s="15" t="str">
        <x:v>실시간 계측데이터·효율 KPI·설정값·가동대수 분석</x:v>
      </x:c>
      <x:c r="J46" s="15" t="str">
        <x:v>B/C</x:v>
      </x:c>
      <x:c r="K46" s="15" t="str">
        <x:v>LGD Big-data Utility 원자료 기준</x:v>
      </x:c>
      <x:c r="L46" s="15" t="str">
        <x:v>LGD 해당 제조사업장 Utility 계통</x:v>
      </x:c>
      <x:c r="M46" s="15" t="str">
        <x:v>예</x:v>
      </x:c>
      <x:c r="N46" s="15" t="str">
        <x:v>LGD Source / 오늘 확정 자료</x:v>
      </x:c>
      <x:c r="O46" s="15" t="str">
        <x:v>CASE 14</x:v>
      </x:c>
      <x:c r="P46" s="15" t="str">
        <x:v>/cases/case-045-lgd-bigdata-utility-optimization.html</x:v>
      </x:c>
    </x:row>
    <x:row r="47">
      <x:c r="A47" s="15" t="str">
        <x:v>CASE 46</x:v>
      </x:c>
      <x:c r="B47" s="15" t="str">
        <x:v>다중 IDC PUE·냉방설비 데이터 분석과 EC Fan·외기냉방 최적화</x:v>
      </x:c>
      <x:c r="C47" s="15" t="str">
        <x:v>데이터센터</x:v>
      </x:c>
      <x:c r="D47" s="15" t="str">
        <x:v>홈페이지 확장</x:v>
      </x:c>
      <x:c r="E47" s="15" t="str">
        <x:v>홈페이지 확장 CASE</x:v>
      </x:c>
      <x:c r="F47" s="15" t="str">
        <x:v>LGU</x:v>
      </x:c>
      <x:c r="G47" s="15" t="str">
        <x:v>IDC 냉방기·EC Fan·외기냉방·냉각탑</x:v>
      </x:c>
      <x:c r="H47" s="15" t="str">
        <x:v>PUE 이상구간과 성능열위 냉방설비 개선</x:v>
      </x:c>
      <x:c r="I47" s="15" t="str">
        <x:v>PUE Benchmark·급기팬 전후비교·투자경제성 분석</x:v>
      </x:c>
      <x:c r="J47" s="15" t="str">
        <x:v>A/B/C</x:v>
      </x:c>
      <x:c r="K47" s="15" t="str">
        <x:v>EC Fan 시범교체 급기팬 소비동력 63.5% 절감 확인; 확대안·외기냉방은 예상효과로 구분</x:v>
      </x:c>
      <x:c r="L47" s="15" t="str">
        <x:v>63.5%는 2개 센터 시범교체 대상 냉방기 급기팬 소비동력의 교체 전·후 비교이며 데이터센터 전체 절감률이 아님</x:v>
      </x:c>
      <x:c r="M47" s="15" t="str">
        <x:v>예</x:v>
      </x:c>
      <x:c r="N47" s="15" t="str">
        <x:v>LGU Source / 오늘 확정 자료</x:v>
      </x:c>
      <x:c r="O47" s="15" t="str">
        <x:v>CASE 38</x:v>
      </x:c>
      <x:c r="P47" s="15" t="str">
        <x:v>/cases/case-046-multi-idc-pue-ecfan-freecooling.html</x:v>
      </x:c>
    </x:row>
    <x:row r="48">
      <x:c r="A48" s="15" t="str">
        <x:v>CASE 47</x:v>
      </x:c>
      <x:c r="B48" s="15" t="str">
        <x:v>다중 데이터센터 PUE·냉방효율 실시간 진단 및 성능최적화</x:v>
      </x:c>
      <x:c r="C48" s="15" t="str">
        <x:v>데이터센터</x:v>
      </x:c>
      <x:c r="D48" s="15" t="str">
        <x:v>홈페이지 확장</x:v>
      </x:c>
      <x:c r="E48" s="15" t="str">
        <x:v>홈페이지 확장 CASE</x:v>
      </x:c>
      <x:c r="F48" s="15" t="str">
        <x:v>LGU</x:v>
      </x:c>
      <x:c r="G48" s="15" t="str">
        <x:v>다중 데이터센터 냉방설비·IPOS</x:v>
      </x:c>
      <x:c r="H48" s="15" t="str">
        <x:v>PUE·냉방효율 실시간 진단과 단계별 성능최적화</x:v>
      </x:c>
      <x:c r="I48" s="15" t="str">
        <x:v>PUE·냉방부하·설비용량·부하율 분석 및 목표 시나리오</x:v>
      </x:c>
      <x:c r="J48" s="15" t="str">
        <x:v>B/C</x:v>
      </x:c>
      <x:c r="K48" s="15" t="str">
        <x:v>기준 PUE 1.82, 추정 1.77; PUE 1.70/1.65 개선효과는 제안단계 예상치</x:v>
      </x:c>
      <x:c r="L48" s="15" t="str">
        <x:v>3개 센터 합산 전력 및 냉방설비 분석경계; 목표 PUE 효과는 사후 M&amp;V 실적이 아님</x:v>
      </x:c>
      <x:c r="M48" s="15" t="str">
        <x:v>예</x:v>
      </x:c>
      <x:c r="N48" s="15" t="str">
        <x:v>LGU Source / 오늘 확정 자료</x:v>
      </x:c>
      <x:c r="O48" s="15" t="str">
        <x:v>CASE 39</x:v>
      </x:c>
      <x:c r="P48" s="15" t="str">
        <x:v>/cases/case-047-data-center-pue-ipos-optimization.html</x:v>
      </x:c>
    </x:row>
    <x:row r="49">
      <x:c r="A49" s="15" t="str">
        <x:v>CASE 48</x:v>
      </x:c>
      <x:c r="B49" s="15" t="str">
        <x:v>133층 Light Tower 건물에너지 효율등급 상향 컴퓨터 시뮬레이션</x:v>
      </x:c>
      <x:c r="C49" s="15" t="str">
        <x:v>친환경건축</x:v>
      </x:c>
      <x:c r="D49" s="15" t="str">
        <x:v>홈페이지 확장</x:v>
      </x:c>
      <x:c r="E49" s="15" t="str">
        <x:v>홈페이지 확장 CASE</x:v>
      </x:c>
      <x:c r="F49" s="15" t="str">
        <x:v>건물모델링</x:v>
      </x:c>
      <x:c r="G49" s="15" t="str">
        <x:v>전체 건물·외피·내부부하·HVAC/Plant</x:v>
      </x:c>
      <x:c r="H49" s="15" t="str">
        <x:v>설계단계 건물에너지 성능평가 및 효율등급 상향 검토</x:v>
      </x:c>
      <x:c r="I49" s="15" t="str">
        <x:v>DOE-2.1E 8,760시간 시뮬레이션</x:v>
      </x:c>
      <x:c r="J49" s="15" t="str">
        <x:v>C/D</x:v>
      </x:c>
      <x:c r="K49" s="15" t="str">
        <x:v>연간 최종에너지 85,122 MWh/년, 전기 43,634 MWh/년, 열 41,488 MWh/년 예측</x:v>
      </x:c>
      <x:c r="L49" s="15" t="str">
        <x:v>설계도서·표준운전프로필·모델가정에 따른 시뮬레이션 예측값이며 준공 후 실적이 아님</x:v>
      </x:c>
      <x:c r="M49" s="15" t="str">
        <x:v>예</x:v>
      </x:c>
      <x:c r="N49" s="15" t="str">
        <x:v>건물모델링 Source / 오늘 확정 자료</x:v>
      </x:c>
      <x:c r="O49" s="15" t="str">
        <x:v>CASE 36 Source 연계</x:v>
      </x:c>
      <x:c r="P49" s="15" t="str">
        <x:v>/cases/case-048-light-tower-doe21e-simulation.html</x:v>
      </x:c>
    </x:row>
    <x:row r="50">
      <x:c r="A50" s="15" t="str">
        <x:v>CASE 49</x:v>
      </x:c>
      <x:c r="B50" s="15" t="str">
        <x:v>체육관 건물에너지 컴퓨터 시뮬레이션</x:v>
      </x:c>
      <x:c r="C50" s="15" t="str">
        <x:v>친환경건축</x:v>
      </x:c>
      <x:c r="D50" s="15" t="str">
        <x:v>홈페이지 확장</x:v>
      </x:c>
      <x:c r="E50" s="15" t="str">
        <x:v>홈페이지 확장 CASE</x:v>
      </x:c>
      <x:c r="F50" s="15" t="str">
        <x:v>건물모델링</x:v>
      </x:c>
      <x:c r="G50" s="15" t="str">
        <x:v>체육관 건축·기계설비</x:v>
      </x:c>
      <x:c r="H50" s="15" t="str">
        <x:v>설계단계 건물에너지 성능 검토</x:v>
      </x:c>
      <x:c r="I50" s="15" t="str">
        <x:v>건물에너지 컴퓨터 시뮬레이션</x:v>
      </x:c>
      <x:c r="J50" s="15" t="str">
        <x:v>D</x:v>
      </x:c>
      <x:c r="K50" s="15" t="str">
        <x:v>정량 결과는 현재 공개 Source에서 재확인 필요</x:v>
      </x:c>
      <x:c r="L50" s="15" t="str">
        <x:v>설계단계 시뮬레이션 범위; 실제 운영성과로 해석하지 않음</x:v>
      </x:c>
      <x:c r="M50" s="15" t="str">
        <x:v>예</x:v>
      </x:c>
      <x:c r="N50" s="15" t="str">
        <x:v>건물모델링 Source / 오늘 확정 자료</x:v>
      </x:c>
      <x:c r="O50" s="15" t="str">
        <x:v>친환경건축 원자료 확장</x:v>
      </x:c>
      <x:c r="P50" s="15" t="str">
        <x:v>/cases/case-049-gymnasium-energy-simulation.html</x:v>
      </x:c>
    </x:row>
    <x:row r="51">
      <x:c r="A51" s="15" t="str">
        <x:v>CASE 50</x:v>
      </x:c>
      <x:c r="B51" s="15" t="str">
        <x:v>보육시설 Passive House 설계검토 컴퓨터 시뮬레이션</x:v>
      </x:c>
      <x:c r="C51" s="15" t="str">
        <x:v>친환경건축</x:v>
      </x:c>
      <x:c r="D51" s="15" t="str">
        <x:v>홈페이지 확장</x:v>
      </x:c>
      <x:c r="E51" s="15" t="str">
        <x:v>홈페이지 확장 CASE</x:v>
      </x:c>
      <x:c r="F51" s="15" t="str">
        <x:v>건물모델링</x:v>
      </x:c>
      <x:c r="G51" s="15" t="str">
        <x:v>보육시설 외피·부하·설비</x:v>
      </x:c>
      <x:c r="H51" s="15" t="str">
        <x:v>Passive House 설계조건의 에너지성능 검토</x:v>
      </x:c>
      <x:c r="I51" s="15" t="str">
        <x:v>설계대안 컴퓨터 시뮬레이션</x:v>
      </x:c>
      <x:c r="J51" s="15" t="str">
        <x:v>D</x:v>
      </x:c>
      <x:c r="K51" s="15" t="str">
        <x:v>정량 결과는 현재 공개 Source에서 재확인 필요</x:v>
      </x:c>
      <x:c r="L51" s="15" t="str">
        <x:v>설계검토 모델 범위; 준공 후 실측 절감성과가 아님</x:v>
      </x:c>
      <x:c r="M51" s="15" t="str">
        <x:v>예</x:v>
      </x:c>
      <x:c r="N51" s="15" t="str">
        <x:v>건물모델링 Source / 오늘 확정 자료</x:v>
      </x:c>
      <x:c r="O51" s="15" t="str">
        <x:v>친환경건축 원자료 확장</x:v>
      </x:c>
      <x:c r="P51" s="15" t="str">
        <x:v>/cases/case-050-passive-house-design-simulation.html</x:v>
      </x:c>
    </x:row>
    <x:row r="52">
      <x:c r="A52" s="15" t="str">
        <x:v>CASE 51</x:v>
      </x:c>
      <x:c r="B52" s="15" t="str">
        <x:v>국제업무지구 업무시설 LEED EAc1 건물에너지 모델 분석</x:v>
      </x:c>
      <x:c r="C52" s="15" t="str">
        <x:v>친환경건축</x:v>
      </x:c>
      <x:c r="D52" s="15" t="str">
        <x:v>홈페이지 확장</x:v>
      </x:c>
      <x:c r="E52" s="15" t="str">
        <x:v>홈페이지 확장 CASE</x:v>
      </x:c>
      <x:c r="F52" s="15" t="str">
        <x:v>건물모델링</x:v>
      </x:c>
      <x:c r="G52" s="15" t="str">
        <x:v>업무시설 전체 건물 에너지모델</x:v>
      </x:c>
      <x:c r="H52" s="15" t="str">
        <x:v>LEED EAc1 인증을 위한 Proposed/Baseline 성능평가</x:v>
      </x:c>
      <x:c r="I52" s="15" t="str">
        <x:v>LEED Energy Modeling·Baseline 비교</x:v>
      </x:c>
      <x:c r="J52" s="15" t="str">
        <x:v>D</x:v>
      </x:c>
      <x:c r="K52" s="15" t="str">
        <x:v>정량 결과는 현재 공개 Source에서 재확인 필요</x:v>
      </x:c>
      <x:c r="L52" s="15" t="str">
        <x:v>LEED 인증용 설계단계 모델 경계; 실제 운영 절감성과가 아님</x:v>
      </x:c>
      <x:c r="M52" s="15" t="str">
        <x:v>예</x:v>
      </x:c>
      <x:c r="N52" s="15" t="str">
        <x:v>건물모델링 Source / 오늘 확정 자료</x:v>
      </x:c>
      <x:c r="O52" s="15" t="str">
        <x:v>CASE 35 방법론 연계</x:v>
      </x:c>
      <x:c r="P52" s="15" t="str">
        <x:v>/cases/case-051-leed-eac1-energy-modeling.html</x:v>
      </x:c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</x:row>
  </x:sheetData>
  <x:pageMargins left="0.7" right="0.7" top="0.75" bottom="0.75" header="0.3" footer="0.3"/>
  <x:tableParts count="1">
    <x:tablePart xmlns:r="http://schemas.openxmlformats.org/officeDocument/2006/relationships" r:id="Re739b83414904d3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34" hidden="0" customWidth="1"/>
    <x:col min="8" max="8" width="34" hidden="0" customWidth="1"/>
    <x:col min="9" max="9" width="36" hidden="0" customWidth="1"/>
    <x:col min="10" max="10" width="16" hidden="0" customWidth="1"/>
    <x:col min="11" max="11" width="48" hidden="0" customWidth="1"/>
    <x:col min="12" max="12" width="50" hidden="0" customWidth="1"/>
    <x:col min="13" max="13" width="14" hidden="0" customWidth="1"/>
    <x:col min="14" max="14" width="34" hidden="0" customWidth="1"/>
    <x:col min="15" max="15" width="28" hidden="0" customWidth="1"/>
    <x:col min="16" max="16" width="48" hidden="0" customWidth="1"/>
  </x:cols>
  <x:sheetData>
    <x:row r="1">
      <x:c r="A1" s="14" t="str">
        <x:v>CASE ID</x:v>
      </x:c>
      <x:c r="B1" s="14" t="str">
        <x:v>공개 CASE 제목</x:v>
      </x:c>
      <x:c r="C1" s="14" t="str">
        <x:v>분야</x:v>
      </x:c>
      <x:c r="D1" s="14" t="str">
        <x:v>1차 구분</x:v>
      </x:c>
      <x:c r="E1" s="14" t="str">
        <x:v>출판상태</x:v>
      </x:c>
      <x:c r="F1" s="14" t="str">
        <x:v>Source Family</x:v>
      </x:c>
      <x:c r="G1" s="14" t="str">
        <x:v>대상설비</x:v>
      </x:c>
      <x:c r="H1" s="14" t="str">
        <x:v>분석목적</x:v>
      </x:c>
      <x:c r="I1" s="14" t="str">
        <x:v>분석방법</x:v>
      </x:c>
      <x:c r="J1" s="14" t="str">
        <x:v>Evidence Level</x:v>
      </x:c>
      <x:c r="K1" s="14" t="str">
        <x:v>정량근거</x:v>
      </x:c>
      <x:c r="L1" s="14" t="str">
        <x:v>Measurement Boundary</x:v>
      </x:c>
      <x:c r="M1" s="14" t="str">
        <x:v>익명화 여부</x:v>
      </x:c>
      <x:c r="N1" s="14" t="str">
        <x:v>Source Trace</x:v>
      </x:c>
      <x:c r="O1" s="14" t="str">
        <x:v>기존 저서 CASE와의 관계</x:v>
      </x:c>
      <x:c r="P1" s="14" t="str">
        <x:v>홈페이지 영구 URL</x:v>
      </x:c>
    </x:row>
    <x:row r="2">
      <x:c r="A2" s="15" t="str">
        <x:v>CASE 42</x:v>
      </x:c>
      <x:c r="B2" s="15" t="str">
        <x:v>반도체·디스플레이 제조시설 Utility 운전최적화와 실시간 효율관리 체계 구축</x:v>
      </x:c>
      <x:c r="C2" s="15" t="str">
        <x:v>제조공장</x:v>
      </x:c>
      <x:c r="D2" s="15" t="str">
        <x:v>홈페이지 확장</x:v>
      </x:c>
      <x:c r="E2" s="15" t="str">
        <x:v>홈페이지 확장 CASE</x:v>
      </x:c>
      <x:c r="F2" s="15" t="str">
        <x:v>LGD</x:v>
      </x:c>
      <x:c r="G2" s="15" t="str">
        <x:v>냉동기·공기압축기·보일러·Utility</x:v>
      </x:c>
      <x:c r="H2" s="15" t="str">
        <x:v>다사업장 Utility 효율관리·운전최적화</x:v>
      </x:c>
      <x:c r="I2" s="15" t="str">
        <x:v>UPI·운전밸런스·가동대수·설정값 분석</x:v>
      </x:c>
      <x:c r="J2" s="15" t="str">
        <x:v>B</x:v>
      </x:c>
      <x:c r="K2" s="15" t="str">
        <x:v>LGD 원자료에서 확인되는 분석·성과 수치만 사용</x:v>
      </x:c>
      <x:c r="L2" s="15" t="str">
        <x:v>LGD 프로젝트/사업장 및 해당 Utility 계측경계</x:v>
      </x:c>
      <x:c r="M2" s="15" t="str">
        <x:v>예</x:v>
      </x:c>
      <x:c r="N2" s="15" t="str">
        <x:v>LGD Source / 오늘 확정 자료</x:v>
      </x:c>
      <x:c r="O2" s="15" t="str">
        <x:v>CASE 11</x:v>
      </x:c>
      <x:c r="P2" s="15" t="str">
        <x:v>/cases/case-042-lgd-utility-efficiency-management.html</x:v>
      </x:c>
    </x:row>
    <x:row r="3">
      <x:c r="A3" s="15" t="str">
        <x:v>CASE 43</x:v>
      </x:c>
      <x:c r="B3" s="15" t="str">
        <x:v>냉동·공조·압축공기 통합 운전데이터 분석</x:v>
      </x:c>
      <x:c r="C3" s="15" t="str">
        <x:v>제조공장</x:v>
      </x:c>
      <x:c r="D3" s="15" t="str">
        <x:v>홈페이지 확장</x:v>
      </x:c>
      <x:c r="E3" s="15" t="str">
        <x:v>홈페이지 확장 CASE</x:v>
      </x:c>
      <x:c r="F3" s="15" t="str">
        <x:v>LGD</x:v>
      </x:c>
      <x:c r="G3" s="15" t="str">
        <x:v>냉동·공조·압축공기</x:v>
      </x:c>
      <x:c r="H3" s="15" t="str">
        <x:v>통합 Utility 운전상태 및 절감기회 분석</x:v>
      </x:c>
      <x:c r="I3" s="15" t="str">
        <x:v>실시간 운전데이터·수요공급 밸런스·효율 비교</x:v>
      </x:c>
      <x:c r="J3" s="15" t="str">
        <x:v>B</x:v>
      </x:c>
      <x:c r="K3" s="15" t="str">
        <x:v>LGD 통합 Utility 분석 원자료 기준</x:v>
      </x:c>
      <x:c r="L3" s="15" t="str">
        <x:v>LGD 해당 공장 Utility 계통 경계</x:v>
      </x:c>
      <x:c r="M3" s="15" t="str">
        <x:v>예</x:v>
      </x:c>
      <x:c r="N3" s="15" t="str">
        <x:v>LGD Source / 오늘 확정 자료</x:v>
      </x:c>
      <x:c r="O3" s="15" t="str">
        <x:v>CASE 12</x:v>
      </x:c>
      <x:c r="P3" s="15" t="str">
        <x:v>/cases/case-043-lgd-integrated-utility-analysis.html</x:v>
      </x:c>
    </x:row>
    <x:row r="4">
      <x:c r="A4" s="15" t="str">
        <x:v>CASE 44</x:v>
      </x:c>
      <x:c r="B4" s="15" t="str">
        <x:v>4개 생산시설 냉동기·공기압축기 UPI Benchmark 및 가동 대수 최적화</x:v>
      </x:c>
      <x:c r="C4" s="15" t="str">
        <x:v>제조공장</x:v>
      </x:c>
      <x:c r="D4" s="15" t="str">
        <x:v>홈페이지 확장</x:v>
      </x:c>
      <x:c r="E4" s="15" t="str">
        <x:v>홈페이지 확장 CASE</x:v>
      </x:c>
      <x:c r="F4" s="15" t="str">
        <x:v>LGD</x:v>
      </x:c>
      <x:c r="G4" s="15" t="str">
        <x:v>냉동기·공기압축기</x:v>
      </x:c>
      <x:c r="H4" s="15" t="str">
        <x:v>생산시설 간 UPI Benchmark와 필요 가동대수 최적화</x:v>
      </x:c>
      <x:c r="I4" s="15" t="str">
        <x:v>UPI 비교·성능순위·필요대수/실제가동대수 비교</x:v>
      </x:c>
      <x:c r="J4" s="15" t="str">
        <x:v>B/C</x:v>
      </x:c>
      <x:c r="K4" s="15" t="str">
        <x:v>LGD 4개 생산시설 Benchmark 원자료 기준</x:v>
      </x:c>
      <x:c r="L4" s="15" t="str">
        <x:v>비교대상 4개 생산시설의 냉동기·공기압축기 계통</x:v>
      </x:c>
      <x:c r="M4" s="15" t="str">
        <x:v>예</x:v>
      </x:c>
      <x:c r="N4" s="15" t="str">
        <x:v>LGD Source / 오늘 확정 자료</x:v>
      </x:c>
      <x:c r="O4" s="15" t="str">
        <x:v>CASE 13</x:v>
      </x:c>
      <x:c r="P4" s="15" t="str">
        <x:v>/cases/case-044-lgd-multisite-upi-benchmark.html</x:v>
      </x:c>
    </x:row>
    <x:row r="5">
      <x:c r="A5" s="15" t="str">
        <x:v>CASE 45</x:v>
      </x:c>
      <x:c r="B5" s="15" t="str">
        <x:v>반도체공장 Big-data 기반 Utility 운전최적화</x:v>
      </x:c>
      <x:c r="C5" s="15" t="str">
        <x:v>제조공장</x:v>
      </x:c>
      <x:c r="D5" s="15" t="str">
        <x:v>홈페이지 확장</x:v>
      </x:c>
      <x:c r="E5" s="15" t="str">
        <x:v>홈페이지 확장 CASE</x:v>
      </x:c>
      <x:c r="F5" s="15" t="str">
        <x:v>LGD</x:v>
      </x:c>
      <x:c r="G5" s="15" t="str">
        <x:v>냉동기·CDA·보일러·펌프 등 Utility</x:v>
      </x:c>
      <x:c r="H5" s="15" t="str">
        <x:v>Big-data 기반 Utility 수요·공급 및 운전밸런스 최적화</x:v>
      </x:c>
      <x:c r="I5" s="15" t="str">
        <x:v>실시간 계측데이터·효율 KPI·설정값·가동대수 분석</x:v>
      </x:c>
      <x:c r="J5" s="15" t="str">
        <x:v>B/C</x:v>
      </x:c>
      <x:c r="K5" s="15" t="str">
        <x:v>LGD Big-data Utility 원자료 기준</x:v>
      </x:c>
      <x:c r="L5" s="15" t="str">
        <x:v>LGD 해당 제조사업장 Utility 계통</x:v>
      </x:c>
      <x:c r="M5" s="15" t="str">
        <x:v>예</x:v>
      </x:c>
      <x:c r="N5" s="15" t="str">
        <x:v>LGD Source / 오늘 확정 자료</x:v>
      </x:c>
      <x:c r="O5" s="15" t="str">
        <x:v>CASE 14</x:v>
      </x:c>
      <x:c r="P5" s="15" t="str">
        <x:v>/cases/case-045-lgd-bigdata-utility-optimization.html</x:v>
      </x:c>
    </x:row>
    <x:row r="6">
      <x:c r="A6" s="15" t="str">
        <x:v>CASE 46</x:v>
      </x:c>
      <x:c r="B6" s="15" t="str">
        <x:v>다중 IDC PUE·냉방설비 데이터 분석과 EC Fan·외기냉방 최적화</x:v>
      </x:c>
      <x:c r="C6" s="15" t="str">
        <x:v>데이터센터</x:v>
      </x:c>
      <x:c r="D6" s="15" t="str">
        <x:v>홈페이지 확장</x:v>
      </x:c>
      <x:c r="E6" s="15" t="str">
        <x:v>홈페이지 확장 CASE</x:v>
      </x:c>
      <x:c r="F6" s="15" t="str">
        <x:v>LGU</x:v>
      </x:c>
      <x:c r="G6" s="15" t="str">
        <x:v>IDC 냉방기·EC Fan·외기냉방·냉각탑</x:v>
      </x:c>
      <x:c r="H6" s="15" t="str">
        <x:v>PUE 이상구간과 성능열위 냉방설비 개선</x:v>
      </x:c>
      <x:c r="I6" s="15" t="str">
        <x:v>PUE Benchmark·급기팬 전후비교·투자경제성 분석</x:v>
      </x:c>
      <x:c r="J6" s="15" t="str">
        <x:v>A/B/C</x:v>
      </x:c>
      <x:c r="K6" s="15" t="str">
        <x:v>EC Fan 시범교체 급기팬 소비동력 63.5% 절감 확인; 확대안·외기냉방은 예상효과로 구분</x:v>
      </x:c>
      <x:c r="L6" s="15" t="str">
        <x:v>63.5%는 2개 센터 시범교체 대상 냉방기 급기팬 소비동력의 교체 전·후 비교이며 데이터센터 전체 절감률이 아님</x:v>
      </x:c>
      <x:c r="M6" s="15" t="str">
        <x:v>예</x:v>
      </x:c>
      <x:c r="N6" s="15" t="str">
        <x:v>LGU Source / 오늘 확정 자료</x:v>
      </x:c>
      <x:c r="O6" s="15" t="str">
        <x:v>CASE 38</x:v>
      </x:c>
      <x:c r="P6" s="15" t="str">
        <x:v>/cases/case-046-multi-idc-pue-ecfan-freecooling.html</x:v>
      </x:c>
    </x:row>
    <x:row r="7">
      <x:c r="A7" s="15" t="str">
        <x:v>CASE 47</x:v>
      </x:c>
      <x:c r="B7" s="15" t="str">
        <x:v>다중 데이터센터 PUE·냉방효율 실시간 진단 및 성능최적화</x:v>
      </x:c>
      <x:c r="C7" s="15" t="str">
        <x:v>데이터센터</x:v>
      </x:c>
      <x:c r="D7" s="15" t="str">
        <x:v>홈페이지 확장</x:v>
      </x:c>
      <x:c r="E7" s="15" t="str">
        <x:v>홈페이지 확장 CASE</x:v>
      </x:c>
      <x:c r="F7" s="15" t="str">
        <x:v>LGU</x:v>
      </x:c>
      <x:c r="G7" s="15" t="str">
        <x:v>다중 데이터센터 냉방설비·IPOS</x:v>
      </x:c>
      <x:c r="H7" s="15" t="str">
        <x:v>PUE·냉방효율 실시간 진단과 단계별 성능최적화</x:v>
      </x:c>
      <x:c r="I7" s="15" t="str">
        <x:v>PUE·냉방부하·설비용량·부하율 분석 및 목표 시나리오</x:v>
      </x:c>
      <x:c r="J7" s="15" t="str">
        <x:v>B/C</x:v>
      </x:c>
      <x:c r="K7" s="15" t="str">
        <x:v>기준 PUE 1.82, 추정 1.77; PUE 1.70/1.65 개선효과는 제안단계 예상치</x:v>
      </x:c>
      <x:c r="L7" s="15" t="str">
        <x:v>3개 센터 합산 전력 및 냉방설비 분석경계; 목표 PUE 효과는 사후 M&amp;V 실적이 아님</x:v>
      </x:c>
      <x:c r="M7" s="15" t="str">
        <x:v>예</x:v>
      </x:c>
      <x:c r="N7" s="15" t="str">
        <x:v>LGU Source / 오늘 확정 자료</x:v>
      </x:c>
      <x:c r="O7" s="15" t="str">
        <x:v>CASE 39</x:v>
      </x:c>
      <x:c r="P7" s="15" t="str">
        <x:v>/cases/case-047-data-center-pue-ipos-optimization.html</x:v>
      </x:c>
    </x:row>
    <x:row r="8">
      <x:c r="A8" s="15" t="str">
        <x:v>CASE 48</x:v>
      </x:c>
      <x:c r="B8" s="15" t="str">
        <x:v>133층 Light Tower 건물에너지 효율등급 상향 컴퓨터 시뮬레이션</x:v>
      </x:c>
      <x:c r="C8" s="15" t="str">
        <x:v>친환경건축</x:v>
      </x:c>
      <x:c r="D8" s="15" t="str">
        <x:v>홈페이지 확장</x:v>
      </x:c>
      <x:c r="E8" s="15" t="str">
        <x:v>홈페이지 확장 CASE</x:v>
      </x:c>
      <x:c r="F8" s="15" t="str">
        <x:v>건물모델링</x:v>
      </x:c>
      <x:c r="G8" s="15" t="str">
        <x:v>전체 건물·외피·내부부하·HVAC/Plant</x:v>
      </x:c>
      <x:c r="H8" s="15" t="str">
        <x:v>설계단계 건물에너지 성능평가 및 효율등급 상향 검토</x:v>
      </x:c>
      <x:c r="I8" s="15" t="str">
        <x:v>DOE-2.1E 8,760시간 시뮬레이션</x:v>
      </x:c>
      <x:c r="J8" s="15" t="str">
        <x:v>C/D</x:v>
      </x:c>
      <x:c r="K8" s="15" t="str">
        <x:v>연간 최종에너지 85,122 MWh/년, 전기 43,634 MWh/년, 열 41,488 MWh/년 예측</x:v>
      </x:c>
      <x:c r="L8" s="15" t="str">
        <x:v>설계도서·표준운전프로필·모델가정에 따른 시뮬레이션 예측값이며 준공 후 실적이 아님</x:v>
      </x:c>
      <x:c r="M8" s="15" t="str">
        <x:v>예</x:v>
      </x:c>
      <x:c r="N8" s="15" t="str">
        <x:v>건물모델링 Source / 오늘 확정 자료</x:v>
      </x:c>
      <x:c r="O8" s="15" t="str">
        <x:v>CASE 36 Source 연계</x:v>
      </x:c>
      <x:c r="P8" s="15" t="str">
        <x:v>/cases/case-048-light-tower-doe21e-simulation.html</x:v>
      </x:c>
    </x:row>
    <x:row r="9">
      <x:c r="A9" s="15" t="str">
        <x:v>CASE 49</x:v>
      </x:c>
      <x:c r="B9" s="15" t="str">
        <x:v>체육관 건물에너지 컴퓨터 시뮬레이션</x:v>
      </x:c>
      <x:c r="C9" s="15" t="str">
        <x:v>친환경건축</x:v>
      </x:c>
      <x:c r="D9" s="15" t="str">
        <x:v>홈페이지 확장</x:v>
      </x:c>
      <x:c r="E9" s="15" t="str">
        <x:v>홈페이지 확장 CASE</x:v>
      </x:c>
      <x:c r="F9" s="15" t="str">
        <x:v>건물모델링</x:v>
      </x:c>
      <x:c r="G9" s="15" t="str">
        <x:v>체육관 건축·기계설비</x:v>
      </x:c>
      <x:c r="H9" s="15" t="str">
        <x:v>설계단계 건물에너지 성능 검토</x:v>
      </x:c>
      <x:c r="I9" s="15" t="str">
        <x:v>건물에너지 컴퓨터 시뮬레이션</x:v>
      </x:c>
      <x:c r="J9" s="15" t="str">
        <x:v>D</x:v>
      </x:c>
      <x:c r="K9" s="15" t="str">
        <x:v>정량 결과는 현재 공개 Source에서 재확인 필요</x:v>
      </x:c>
      <x:c r="L9" s="15" t="str">
        <x:v>설계단계 시뮬레이션 범위; 실제 운영성과로 해석하지 않음</x:v>
      </x:c>
      <x:c r="M9" s="15" t="str">
        <x:v>예</x:v>
      </x:c>
      <x:c r="N9" s="15" t="str">
        <x:v>건물모델링 Source / 오늘 확정 자료</x:v>
      </x:c>
      <x:c r="O9" s="15" t="str">
        <x:v>친환경건축 원자료 확장</x:v>
      </x:c>
      <x:c r="P9" s="15" t="str">
        <x:v>/cases/case-049-gymnasium-energy-simulation.html</x:v>
      </x:c>
    </x:row>
    <x:row r="10">
      <x:c r="A10" s="15" t="str">
        <x:v>CASE 50</x:v>
      </x:c>
      <x:c r="B10" s="15" t="str">
        <x:v>보육시설 Passive House 설계검토 컴퓨터 시뮬레이션</x:v>
      </x:c>
      <x:c r="C10" s="15" t="str">
        <x:v>친환경건축</x:v>
      </x:c>
      <x:c r="D10" s="15" t="str">
        <x:v>홈페이지 확장</x:v>
      </x:c>
      <x:c r="E10" s="15" t="str">
        <x:v>홈페이지 확장 CASE</x:v>
      </x:c>
      <x:c r="F10" s="15" t="str">
        <x:v>건물모델링</x:v>
      </x:c>
      <x:c r="G10" s="15" t="str">
        <x:v>보육시설 외피·부하·설비</x:v>
      </x:c>
      <x:c r="H10" s="15" t="str">
        <x:v>Passive House 설계조건의 에너지성능 검토</x:v>
      </x:c>
      <x:c r="I10" s="15" t="str">
        <x:v>설계대안 컴퓨터 시뮬레이션</x:v>
      </x:c>
      <x:c r="J10" s="15" t="str">
        <x:v>D</x:v>
      </x:c>
      <x:c r="K10" s="15" t="str">
        <x:v>정량 결과는 현재 공개 Source에서 재확인 필요</x:v>
      </x:c>
      <x:c r="L10" s="15" t="str">
        <x:v>설계검토 모델 범위; 준공 후 실측 절감성과가 아님</x:v>
      </x:c>
      <x:c r="M10" s="15" t="str">
        <x:v>예</x:v>
      </x:c>
      <x:c r="N10" s="15" t="str">
        <x:v>건물모델링 Source / 오늘 확정 자료</x:v>
      </x:c>
      <x:c r="O10" s="15" t="str">
        <x:v>친환경건축 원자료 확장</x:v>
      </x:c>
      <x:c r="P10" s="15" t="str">
        <x:v>/cases/case-050-passive-house-design-simulation.html</x:v>
      </x:c>
    </x:row>
    <x:row r="11">
      <x:c r="A11" s="15" t="str">
        <x:v>CASE 51</x:v>
      </x:c>
      <x:c r="B11" s="15" t="str">
        <x:v>국제업무지구 업무시설 LEED EAc1 건물에너지 모델 분석</x:v>
      </x:c>
      <x:c r="C11" s="15" t="str">
        <x:v>친환경건축</x:v>
      </x:c>
      <x:c r="D11" s="15" t="str">
        <x:v>홈페이지 확장</x:v>
      </x:c>
      <x:c r="E11" s="15" t="str">
        <x:v>홈페이지 확장 CASE</x:v>
      </x:c>
      <x:c r="F11" s="15" t="str">
        <x:v>건물모델링</x:v>
      </x:c>
      <x:c r="G11" s="15" t="str">
        <x:v>업무시설 전체 건물 에너지모델</x:v>
      </x:c>
      <x:c r="H11" s="15" t="str">
        <x:v>LEED EAc1 인증을 위한 Proposed/Baseline 성능평가</x:v>
      </x:c>
      <x:c r="I11" s="15" t="str">
        <x:v>LEED Energy Modeling·Baseline 비교</x:v>
      </x:c>
      <x:c r="J11" s="15" t="str">
        <x:v>D</x:v>
      </x:c>
      <x:c r="K11" s="15" t="str">
        <x:v>정량 결과는 현재 공개 Source에서 재확인 필요</x:v>
      </x:c>
      <x:c r="L11" s="15" t="str">
        <x:v>LEED 인증용 설계단계 모델 경계; 실제 운영 절감성과가 아님</x:v>
      </x:c>
      <x:c r="M11" s="15" t="str">
        <x:v>예</x:v>
      </x:c>
      <x:c r="N11" s="15" t="str">
        <x:v>건물모델링 Source / 오늘 확정 자료</x:v>
      </x:c>
      <x:c r="O11" s="15" t="str">
        <x:v>CASE 35 방법론 연계</x:v>
      </x:c>
      <x:c r="P11" s="15" t="str">
        <x:v>/cases/case-051-leed-eac1-energy-modeling.html</x:v>
      </x:c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</x:row>
  </x:sheetData>
  <x:pageMargins left="0.7" right="0.7" top="0.75" bottom="0.75" header="0.3" footer="0.3"/>
  <x:tableParts count="1">
    <x:tablePart xmlns:r="http://schemas.openxmlformats.org/officeDocument/2006/relationships" r:id="Rf15488a3e7bc43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4" t="str">
        <x:v>구분</x:v>
      </x:c>
      <x:c r="B1" s="14" t="str">
        <x:v>전체</x:v>
      </x:c>
      <x:c r="C1" s="14" t="str">
        <x:v>제조공장</x:v>
      </x:c>
      <x:c r="D1" s="14" t="str">
        <x:v>데이터센터</x:v>
      </x:c>
      <x:c r="E1" s="14" t="str">
        <x:v>건물</x:v>
      </x:c>
      <x:c r="F1" s="14" t="str">
        <x:v>친환경건축</x:v>
      </x:c>
      <x:c r="G1" s="14" t="str">
        <x:v>지역난방·공동주택</x:v>
      </x:c>
    </x:row>
    <x:row r="2">
      <x:c r="A2" s="15" t="str">
        <x:v>전체 CASE</x:v>
      </x:c>
      <x:c r="B2" s="15" t="n">
        <x:f>COUNTA('01_CASE_MASTER_FINAL'!A2:A52)</x:f>
        <x:v>51</x:v>
      </x:c>
      <x:c r="C2" s="15" t="n">
        <x:f>COUNTIF('01_CASE_MASTER_FINAL'!C2:C52,"제조공장")</x:f>
        <x:v>32</x:v>
      </x:c>
      <x:c r="D2" s="15" t="n">
        <x:f>COUNTIF('01_CASE_MASTER_FINAL'!C2:C52,"데이터센터")</x:f>
        <x:v>4</x:v>
      </x:c>
      <x:c r="E2" s="15" t="n">
        <x:f>COUNTIF('01_CASE_MASTER_FINAL'!C2:C52,"건물")</x:f>
        <x:v>5</x:v>
      </x:c>
      <x:c r="F2" s="15" t="n">
        <x:f>COUNTIF('01_CASE_MASTER_FINAL'!C2:C52,"친환경건축")</x:f>
        <x:v>8</x:v>
      </x:c>
      <x:c r="G2" s="15" t="n">
        <x:f>COUNTIF('01_CASE_MASTER_FINAL'!C2:C52,"지역난방·공동주택")</x:f>
        <x:v>2</x:v>
      </x:c>
    </x:row>
    <x:row r="3">
      <x:c r="A3" s="15" t="str">
        <x:v>저서 연계</x:v>
      </x:c>
      <x:c r="B3" s="15" t="n">
        <x:f>COUNTIF('01_CASE_MASTER_FINAL'!D2:D52,"저서 연계")</x:f>
        <x:v>41</x:v>
      </x:c>
      <x:c r="C3" s="15" t="n">
        <x:f>COUNTIFS('01_CASE_MASTER_FINAL'!D2:D52,"저서 연계",'01_CASE_MASTER_FINAL'!C2:C52,"제조공장")</x:f>
        <x:v>28</x:v>
      </x:c>
      <x:c r="D3" s="15" t="n">
        <x:f>COUNTIFS('01_CASE_MASTER_FINAL'!D2:D52,"저서 연계",'01_CASE_MASTER_FINAL'!C2:C52,"데이터센터")</x:f>
        <x:v>2</x:v>
      </x:c>
      <x:c r="E3" s="15" t="n">
        <x:f>COUNTIFS('01_CASE_MASTER_FINAL'!D2:D52,"저서 연계",'01_CASE_MASTER_FINAL'!C2:C52,"건물")</x:f>
        <x:v>5</x:v>
      </x:c>
      <x:c r="F3" s="15" t="n">
        <x:f>COUNTIFS('01_CASE_MASTER_FINAL'!D2:D52,"저서 연계",'01_CASE_MASTER_FINAL'!C2:C52,"친환경건축")</x:f>
        <x:v>4</x:v>
      </x:c>
      <x:c r="G3" s="15" t="n">
        <x:f>COUNTIFS('01_CASE_MASTER_FINAL'!D2:D52,"저서 연계",'01_CASE_MASTER_FINAL'!C2:C52,"지역난방·공동주택")</x:f>
        <x:v>2</x:v>
      </x:c>
    </x:row>
    <x:row r="4">
      <x:c r="A4" s="15" t="str">
        <x:v>홈페이지 확장</x:v>
      </x:c>
      <x:c r="B4" s="15" t="n">
        <x:f>COUNTIF('01_CASE_MASTER_FINAL'!D2:D52,"홈페이지 확장")</x:f>
        <x:v>10</x:v>
      </x:c>
      <x:c r="C4" s="15" t="n">
        <x:f>COUNTIFS('01_CASE_MASTER_FINAL'!D2:D52,"홈페이지 확장",'01_CASE_MASTER_FINAL'!C2:C52,"제조공장")</x:f>
        <x:v>4</x:v>
      </x:c>
      <x:c r="D4" s="15" t="n">
        <x:f>COUNTIFS('01_CASE_MASTER_FINAL'!D2:D52,"홈페이지 확장",'01_CASE_MASTER_FINAL'!C2:C52,"데이터센터")</x:f>
        <x:v>2</x:v>
      </x:c>
      <x:c r="E4" s="15" t="n">
        <x:f>COUNTIFS('01_CASE_MASTER_FINAL'!D2:D52,"홈페이지 확장",'01_CASE_MASTER_FINAL'!C2:C52,"건물")</x:f>
        <x:v>0</x:v>
      </x:c>
      <x:c r="F4" s="15" t="n">
        <x:f>COUNTIFS('01_CASE_MASTER_FINAL'!D2:D52,"홈페이지 확장",'01_CASE_MASTER_FINAL'!C2:C52,"친환경건축")</x:f>
        <x:v>4</x:v>
      </x:c>
      <x:c r="G4" s="15" t="n">
        <x:f>COUNTIFS('01_CASE_MASTER_FINAL'!D2:D52,"홈페이지 확장",'01_CASE_MASTER_FINAL'!C2:C52,"지역난방·공동주택")</x:f>
        <x:v>0</x:v>
      </x:c>
    </x:row>
    <x:row r="5">
      <x:c r="A5" s="15"/>
      <x:c r="B5" s="15"/>
      <x:c r="C5" s="15"/>
      <x:c r="D5" s="15"/>
      <x:c r="E5" s="15"/>
      <x:c r="F5" s="15"/>
      <x:c r="G5" s="15"/>
    </x:row>
    <x:row r="6">
      <x:c r="A6" s="15"/>
      <x:c r="B6" s="15"/>
      <x:c r="C6" s="15"/>
      <x:c r="D6" s="15"/>
      <x:c r="E6" s="15"/>
      <x:c r="F6" s="15"/>
      <x:c r="G6" s="15"/>
    </x:row>
    <x:row r="7">
      <x:c r="A7" s="15" t="str">
        <x:v>V3.3 필터</x:v>
      </x:c>
      <x:c r="B7" s="15" t="str">
        <x:v>확정값</x:v>
      </x:c>
      <x:c r="C7" s="15"/>
      <x:c r="D7" s="15"/>
      <x:c r="E7" s="15"/>
      <x:c r="F7" s="15"/>
      <x:c r="G7" s="15"/>
    </x:row>
    <x:row r="8">
      <x:c r="A8" s="15" t="str">
        <x:v>1차</x:v>
      </x:c>
      <x:c r="B8" s="15" t="str">
        <x:v>전체 CASE (51) | 저서 연계 (41) | 홈페이지 확장 (10)</x:v>
      </x:c>
      <x:c r="C8" s="15"/>
      <x:c r="D8" s="15"/>
      <x:c r="E8" s="15"/>
      <x:c r="F8" s="15"/>
      <x:c r="G8" s="15"/>
    </x:row>
    <x:row r="9">
      <x:c r="A9" s="15" t="str">
        <x:v>확장 2차</x:v>
      </x:c>
      <x:c r="B9" s="15" t="str">
        <x:v>전체 (10) | 제조공장 (4) | 데이터센터 (2) | 건물 (0) | 친환경건축 (4) | 지역난방·공동주택 (0)</x:v>
      </x:c>
      <x:c r="C9" s="15"/>
      <x:c r="D9" s="15"/>
      <x:c r="E9" s="15"/>
      <x:c r="F9" s="15"/>
      <x:c r="G9" s="15"/>
    </x:row>
    <x:row r="10">
      <x:c r="A10" s="15" t="str">
        <x:v>번호</x:v>
      </x:c>
      <x:c r="B10" s="15" t="str">
        <x:v>CASE 42~45 LGD / CASE 46~47 LGU / CASE 48~51 친환경건축</x:v>
      </x:c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15"/>
      <x:c r="B13" s="15"/>
      <x:c r="C13" s="15"/>
      <x:c r="D13" s="15"/>
      <x:c r="E13" s="15"/>
      <x:c r="F13" s="15"/>
      <x:c r="G13" s="15"/>
    </x:row>
    <x:row r="14">
      <x:c r="A14" s="15"/>
      <x:c r="B14" s="15"/>
      <x:c r="C14" s="15"/>
      <x:c r="D14" s="15"/>
      <x:c r="E14" s="15"/>
      <x:c r="F14" s="15"/>
      <x:c r="G14" s="15"/>
    </x:row>
    <x:row r="15">
      <x:c r="A15" s="15"/>
      <x:c r="B15" s="15"/>
      <x:c r="C15" s="15"/>
      <x:c r="D15" s="15"/>
      <x:c r="E15" s="15"/>
      <x:c r="F15" s="15"/>
      <x:c r="G15" s="15"/>
    </x:row>
    <x:row r="16">
      <x:c r="A16" s="15"/>
      <x:c r="B16" s="15"/>
      <x:c r="C16" s="15"/>
      <x:c r="D16" s="15"/>
      <x:c r="E16" s="15"/>
      <x:c r="F16" s="15"/>
      <x:c r="G16" s="15"/>
    </x:row>
    <x:row r="17">
      <x:c r="A17" s="15"/>
      <x:c r="B17" s="15"/>
      <x:c r="C17" s="15"/>
      <x:c r="D17" s="15"/>
      <x:c r="E17" s="15"/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  <x:row r="26">
      <x:c r="A26" s="15"/>
      <x:c r="B26" s="15"/>
      <x:c r="C26" s="15"/>
      <x:c r="D26" s="15"/>
      <x:c r="E26" s="15"/>
      <x:c r="F26" s="15"/>
      <x:c r="G26" s="15"/>
    </x:row>
    <x:row r="27">
      <x:c r="A27" s="15"/>
      <x:c r="B27" s="15"/>
      <x:c r="C27" s="15"/>
      <x:c r="D27" s="15"/>
      <x:c r="E27" s="15"/>
      <x:c r="F27" s="15"/>
      <x:c r="G27" s="15"/>
    </x:row>
    <x:row r="28">
      <x:c r="A28" s="15"/>
      <x:c r="B28" s="15"/>
      <x:c r="C28" s="15"/>
      <x:c r="D28" s="15"/>
      <x:c r="E28" s="15"/>
      <x:c r="F28" s="15"/>
      <x:c r="G28" s="15"/>
    </x:row>
    <x:row r="29">
      <x:c r="A29" s="15"/>
      <x:c r="B29" s="15"/>
      <x:c r="C29" s="15"/>
      <x:c r="D29" s="15"/>
      <x:c r="E29" s="15"/>
      <x:c r="F29" s="15"/>
      <x:c r="G29" s="15"/>
    </x:row>
    <x:row r="30">
      <x:c r="A30" s="15"/>
      <x:c r="B30" s="15"/>
      <x:c r="C30" s="15"/>
      <x:c r="D30" s="15"/>
      <x:c r="E30" s="15"/>
      <x:c r="F30" s="15"/>
      <x:c r="G30" s="15"/>
    </x:row>
    <x:row r="31">
      <x:c r="A31" s="15"/>
      <x:c r="B31" s="15"/>
      <x:c r="C31" s="15"/>
      <x:c r="D31" s="15"/>
      <x:c r="E31" s="15"/>
      <x:c r="F31" s="15"/>
      <x:c r="G31" s="15"/>
    </x:row>
    <x:row r="32">
      <x:c r="A32" s="15"/>
      <x:c r="B32" s="15"/>
      <x:c r="C32" s="15"/>
      <x:c r="D32" s="15"/>
      <x:c r="E32" s="15"/>
      <x:c r="F32" s="15"/>
      <x:c r="G32" s="15"/>
    </x:row>
    <x:row r="33">
      <x:c r="A33" s="15"/>
      <x:c r="B33" s="15"/>
      <x:c r="C33" s="15"/>
      <x:c r="D33" s="15"/>
      <x:c r="E33" s="15"/>
      <x:c r="F33" s="15"/>
      <x:c r="G33" s="15"/>
    </x:row>
    <x:row r="34">
      <x:c r="A34" s="15"/>
      <x:c r="B34" s="15"/>
      <x:c r="C34" s="15"/>
      <x:c r="D34" s="15"/>
      <x:c r="E34" s="15"/>
      <x:c r="F34" s="15"/>
      <x:c r="G34" s="15"/>
    </x:row>
    <x:row r="35">
      <x:c r="A35" s="15"/>
      <x:c r="B35" s="15"/>
      <x:c r="C35" s="15"/>
      <x:c r="D35" s="15"/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  <x:row r="41">
      <x:c r="A41" s="15"/>
      <x:c r="B41" s="15"/>
      <x:c r="C41" s="15"/>
      <x:c r="D41" s="15"/>
      <x:c r="E41" s="15"/>
      <x:c r="F41" s="15"/>
      <x:c r="G41" s="15"/>
    </x:row>
    <x:row r="42">
      <x:c r="A42" s="15"/>
      <x:c r="B42" s="15"/>
      <x:c r="C42" s="15"/>
      <x:c r="D42" s="15"/>
      <x:c r="E42" s="15"/>
      <x:c r="F42" s="15"/>
      <x:c r="G42" s="15"/>
    </x:row>
    <x:row r="43">
      <x:c r="A43" s="15"/>
      <x:c r="B43" s="15"/>
      <x:c r="C43" s="15"/>
      <x:c r="D43" s="15"/>
      <x:c r="E43" s="15"/>
      <x:c r="F43" s="15"/>
      <x:c r="G43" s="15"/>
    </x:row>
    <x:row r="44">
      <x:c r="A44" s="15"/>
      <x:c r="B44" s="15"/>
      <x:c r="C44" s="15"/>
      <x:c r="D44" s="15"/>
      <x:c r="E44" s="15"/>
      <x:c r="F44" s="15"/>
      <x:c r="G44" s="15"/>
    </x:row>
    <x:row r="45">
      <x:c r="A45" s="15"/>
      <x:c r="B45" s="15"/>
      <x:c r="C45" s="15"/>
      <x:c r="D45" s="15"/>
      <x:c r="E45" s="15"/>
      <x:c r="F45" s="15"/>
      <x:c r="G45" s="15"/>
    </x:row>
    <x:row r="46">
      <x:c r="A46" s="15"/>
      <x:c r="B46" s="15"/>
      <x:c r="C46" s="15"/>
      <x:c r="D46" s="15"/>
      <x:c r="E46" s="15"/>
      <x:c r="F46" s="15"/>
      <x:c r="G46" s="15"/>
    </x:row>
    <x:row r="47">
      <x:c r="A47" s="15"/>
      <x:c r="B47" s="15"/>
      <x:c r="C47" s="15"/>
      <x:c r="D47" s="15"/>
      <x:c r="E47" s="15"/>
      <x:c r="F47" s="15"/>
      <x:c r="G47" s="15"/>
    </x:row>
    <x:row r="48">
      <x:c r="A48" s="15"/>
      <x:c r="B48" s="15"/>
      <x:c r="C48" s="15"/>
      <x:c r="D48" s="15"/>
      <x:c r="E48" s="15"/>
      <x:c r="F48" s="15"/>
      <x:c r="G48" s="15"/>
    </x:row>
    <x:row r="49">
      <x:c r="A49" s="15"/>
      <x:c r="B49" s="15"/>
      <x:c r="C49" s="15"/>
      <x:c r="D49" s="15"/>
      <x:c r="E49" s="15"/>
      <x:c r="F49" s="15"/>
      <x:c r="G49" s="15"/>
    </x:row>
    <x:row r="50">
      <x:c r="A50" s="15"/>
      <x:c r="B50" s="15"/>
      <x:c r="C50" s="15"/>
      <x:c r="D50" s="15"/>
      <x:c r="E50" s="15"/>
      <x:c r="F50" s="15"/>
      <x:c r="G50" s="15"/>
    </x:row>
    <x:row r="51">
      <x:c r="A51" s="15"/>
      <x:c r="B51" s="15"/>
      <x:c r="C51" s="15"/>
      <x:c r="D51" s="15"/>
      <x:c r="E51" s="15"/>
      <x:c r="F51" s="15"/>
      <x:c r="G51" s="15"/>
    </x:row>
    <x:row r="52">
      <x:c r="A52" s="15"/>
      <x:c r="B52" s="15"/>
      <x:c r="C52" s="15"/>
      <x:c r="D52" s="15"/>
      <x:c r="E52" s="15"/>
      <x:c r="F52" s="15"/>
      <x:c r="G52" s="15"/>
    </x:row>
    <x:row r="53">
      <x:c r="A53" s="15"/>
      <x:c r="B53" s="15"/>
      <x:c r="C53" s="15"/>
      <x:c r="D53" s="15"/>
      <x:c r="E53" s="15"/>
      <x:c r="F53" s="15"/>
      <x:c r="G53" s="15"/>
    </x:row>
    <x:row r="54">
      <x:c r="A54" s="15"/>
      <x:c r="B54" s="15"/>
      <x:c r="C54" s="15"/>
      <x:c r="D54" s="15"/>
      <x:c r="E54" s="15"/>
      <x:c r="F54" s="15"/>
      <x:c r="G54" s="15"/>
    </x:row>
    <x:row r="55">
      <x:c r="A55" s="15"/>
      <x:c r="B55" s="15"/>
      <x:c r="C55" s="15"/>
      <x:c r="D55" s="15"/>
      <x:c r="E55" s="15"/>
      <x:c r="F55" s="15"/>
      <x:c r="G55" s="15"/>
    </x:row>
    <x:row r="56">
      <x:c r="A56" s="15"/>
      <x:c r="B56" s="15"/>
      <x:c r="C56" s="15"/>
      <x:c r="D56" s="15"/>
      <x:c r="E56" s="15"/>
      <x:c r="F56" s="15"/>
      <x:c r="G56" s="15"/>
    </x:row>
    <x:row r="57">
      <x:c r="A57" s="15"/>
      <x:c r="B57" s="15"/>
      <x:c r="C57" s="15"/>
      <x:c r="D57" s="15"/>
      <x:c r="E57" s="15"/>
      <x:c r="F57" s="15"/>
      <x:c r="G57" s="15"/>
    </x:row>
    <x:row r="58">
      <x:c r="A58" s="15"/>
      <x:c r="B58" s="15"/>
      <x:c r="C58" s="15"/>
      <x:c r="D58" s="15"/>
      <x:c r="E58" s="15"/>
      <x:c r="F58" s="15"/>
      <x:c r="G58" s="15"/>
    </x:row>
    <x:row r="59">
      <x:c r="A59" s="15"/>
      <x:c r="B59" s="15"/>
      <x:c r="C59" s="15"/>
      <x:c r="D59" s="15"/>
      <x:c r="E59" s="15"/>
      <x:c r="F59" s="15"/>
      <x:c r="G59" s="15"/>
    </x:row>
    <x:row r="60">
      <x:c r="A60" s="15"/>
      <x:c r="B60" s="15"/>
      <x:c r="C60" s="15"/>
      <x:c r="D60" s="15"/>
      <x:c r="E60" s="15"/>
      <x:c r="F60" s="15"/>
      <x:c r="G60" s="15"/>
    </x:row>
    <x:row r="61">
      <x:c r="A61" s="15"/>
      <x:c r="B61" s="15"/>
      <x:c r="C61" s="15"/>
      <x:c r="D61" s="15"/>
      <x:c r="E61" s="15"/>
      <x:c r="F61" s="15"/>
      <x:c r="G61" s="15"/>
    </x:row>
    <x:row r="62">
      <x:c r="A62" s="15"/>
      <x:c r="B62" s="15"/>
      <x:c r="C62" s="15"/>
      <x:c r="D62" s="15"/>
      <x:c r="E62" s="15"/>
      <x:c r="F62" s="15"/>
      <x:c r="G62" s="15"/>
    </x:row>
    <x:row r="63">
      <x:c r="A63" s="15"/>
      <x:c r="B63" s="15"/>
      <x:c r="C63" s="15"/>
      <x:c r="D63" s="15"/>
      <x:c r="E63" s="15"/>
      <x:c r="F63" s="15"/>
      <x:c r="G63" s="15"/>
    </x:row>
    <x:row r="64">
      <x:c r="A64" s="15"/>
      <x:c r="B64" s="15"/>
      <x:c r="C64" s="15"/>
      <x:c r="D64" s="15"/>
      <x:c r="E64" s="15"/>
      <x:c r="F64" s="15"/>
      <x:c r="G64" s="15"/>
    </x:row>
    <x:row r="65">
      <x:c r="A65" s="15"/>
      <x:c r="B65" s="15"/>
      <x:c r="C65" s="15"/>
      <x:c r="D65" s="15"/>
      <x:c r="E65" s="15"/>
      <x:c r="F65" s="15"/>
      <x:c r="G65" s="15"/>
    </x:row>
    <x:row r="66">
      <x:c r="A66" s="15"/>
      <x:c r="B66" s="15"/>
      <x:c r="C66" s="15"/>
      <x:c r="D66" s="15"/>
      <x:c r="E66" s="15"/>
      <x:c r="F66" s="15"/>
      <x:c r="G66" s="15"/>
    </x:row>
    <x:row r="67">
      <x:c r="A67" s="15"/>
      <x:c r="B67" s="15"/>
      <x:c r="C67" s="15"/>
      <x:c r="D67" s="15"/>
      <x:c r="E67" s="15"/>
      <x:c r="F67" s="15"/>
      <x:c r="G67" s="15"/>
    </x:row>
    <x:row r="68">
      <x:c r="A68" s="15"/>
      <x:c r="B68" s="15"/>
      <x:c r="C68" s="15"/>
      <x:c r="D68" s="15"/>
      <x:c r="E68" s="15"/>
      <x:c r="F68" s="15"/>
      <x:c r="G68" s="15"/>
    </x:row>
    <x:row r="69">
      <x:c r="A69" s="15"/>
      <x:c r="B69" s="15"/>
      <x:c r="C69" s="15"/>
      <x:c r="D69" s="15"/>
      <x:c r="E69" s="15"/>
      <x:c r="F69" s="15"/>
      <x:c r="G69" s="15"/>
    </x:row>
    <x:row r="70">
      <x:c r="A70" s="15"/>
      <x:c r="B70" s="15"/>
      <x:c r="C70" s="15"/>
      <x:c r="D70" s="15"/>
      <x:c r="E70" s="15"/>
      <x:c r="F70" s="15"/>
      <x:c r="G70" s="15"/>
    </x:row>
    <x:row r="71">
      <x:c r="A71" s="15"/>
      <x:c r="B71" s="15"/>
      <x:c r="C71" s="15"/>
      <x:c r="D71" s="15"/>
      <x:c r="E71" s="15"/>
      <x:c r="F71" s="15"/>
      <x:c r="G71" s="15"/>
    </x:row>
    <x:row r="72">
      <x:c r="A72" s="15"/>
      <x:c r="B72" s="15"/>
      <x:c r="C72" s="15"/>
      <x:c r="D72" s="15"/>
      <x:c r="E72" s="15"/>
      <x:c r="F72" s="15"/>
      <x:c r="G72" s="15"/>
    </x:row>
    <x:row r="73">
      <x:c r="A73" s="15"/>
      <x:c r="B73" s="15"/>
      <x:c r="C73" s="15"/>
      <x:c r="D73" s="15"/>
      <x:c r="E73" s="15"/>
      <x:c r="F73" s="15"/>
      <x:c r="G73" s="15"/>
    </x:row>
    <x:row r="74">
      <x:c r="A74" s="15"/>
      <x:c r="B74" s="15"/>
      <x:c r="C74" s="15"/>
      <x:c r="D74" s="15"/>
      <x:c r="E74" s="15"/>
      <x:c r="F74" s="15"/>
      <x:c r="G74" s="15"/>
    </x:row>
    <x:row r="75">
      <x:c r="A75" s="15"/>
      <x:c r="B75" s="15"/>
      <x:c r="C75" s="15"/>
      <x:c r="D75" s="15"/>
      <x:c r="E75" s="15"/>
      <x:c r="F75" s="15"/>
      <x:c r="G75" s="15"/>
    </x:row>
    <x:row r="76">
      <x:c r="A76" s="15"/>
      <x:c r="B76" s="15"/>
      <x:c r="C76" s="15"/>
      <x:c r="D76" s="15"/>
      <x:c r="E76" s="15"/>
      <x:c r="F76" s="15"/>
      <x:c r="G76" s="15"/>
    </x:row>
    <x:row r="77">
      <x:c r="A77" s="15"/>
      <x:c r="B77" s="15"/>
      <x:c r="C77" s="15"/>
      <x:c r="D77" s="15"/>
      <x:c r="E77" s="15"/>
      <x:c r="F77" s="15"/>
      <x:c r="G77" s="15"/>
    </x:row>
    <x:row r="78">
      <x:c r="A78" s="15"/>
      <x:c r="B78" s="15"/>
      <x:c r="C78" s="15"/>
      <x:c r="D78" s="15"/>
      <x:c r="E78" s="15"/>
      <x:c r="F78" s="15"/>
      <x:c r="G78" s="15"/>
    </x:row>
    <x:row r="79">
      <x:c r="A79" s="15"/>
      <x:c r="B79" s="15"/>
      <x:c r="C79" s="15"/>
      <x:c r="D79" s="15"/>
      <x:c r="E79" s="15"/>
      <x:c r="F79" s="15"/>
      <x:c r="G79" s="15"/>
    </x:row>
    <x:row r="80">
      <x:c r="A80" s="15"/>
      <x:c r="B80" s="15"/>
      <x:c r="C80" s="15"/>
      <x:c r="D80" s="15"/>
      <x:c r="E80" s="15"/>
      <x:c r="F80" s="15"/>
      <x:c r="G80" s="15"/>
    </x:row>
    <x:row r="81">
      <x:c r="A81" s="15"/>
      <x:c r="B81" s="15"/>
      <x:c r="C81" s="15"/>
      <x:c r="D81" s="15"/>
      <x:c r="E81" s="15"/>
      <x:c r="F81" s="15"/>
      <x:c r="G81" s="15"/>
    </x:row>
    <x:row r="82">
      <x:c r="A82" s="15"/>
      <x:c r="B82" s="15"/>
      <x:c r="C82" s="15"/>
      <x:c r="D82" s="15"/>
      <x:c r="E82" s="15"/>
      <x:c r="F82" s="15"/>
      <x:c r="G82" s="15"/>
    </x:row>
    <x:row r="83">
      <x:c r="A83" s="15"/>
      <x:c r="B83" s="15"/>
      <x:c r="C83" s="15"/>
      <x:c r="D83" s="15"/>
      <x:c r="E83" s="15"/>
      <x:c r="F83" s="15"/>
      <x:c r="G83" s="15"/>
    </x:row>
    <x:row r="84">
      <x:c r="A84" s="15"/>
      <x:c r="B84" s="15"/>
      <x:c r="C84" s="15"/>
      <x:c r="D84" s="15"/>
      <x:c r="E84" s="15"/>
      <x:c r="F84" s="15"/>
      <x:c r="G84" s="15"/>
    </x:row>
    <x:row r="85">
      <x:c r="A85" s="15"/>
      <x:c r="B85" s="15"/>
      <x:c r="C85" s="15"/>
      <x:c r="D85" s="15"/>
      <x:c r="E85" s="15"/>
      <x:c r="F85" s="15"/>
      <x:c r="G85" s="15"/>
    </x:row>
    <x:row r="86">
      <x:c r="A86" s="15"/>
      <x:c r="B86" s="15"/>
      <x:c r="C86" s="15"/>
      <x:c r="D86" s="15"/>
      <x:c r="E86" s="15"/>
      <x:c r="F86" s="15"/>
      <x:c r="G86" s="15"/>
    </x:row>
    <x:row r="87">
      <x:c r="A87" s="15"/>
      <x:c r="B87" s="15"/>
      <x:c r="C87" s="15"/>
      <x:c r="D87" s="15"/>
      <x:c r="E87" s="15"/>
      <x:c r="F87" s="15"/>
      <x:c r="G87" s="15"/>
    </x:row>
    <x:row r="88">
      <x:c r="A88" s="15"/>
      <x:c r="B88" s="15"/>
      <x:c r="C88" s="15"/>
      <x:c r="D88" s="15"/>
      <x:c r="E88" s="15"/>
      <x:c r="F88" s="15"/>
      <x:c r="G88" s="15"/>
    </x:row>
    <x:row r="89">
      <x:c r="A89" s="15"/>
      <x:c r="B89" s="15"/>
      <x:c r="C89" s="15"/>
      <x:c r="D89" s="15"/>
      <x:c r="E89" s="15"/>
      <x:c r="F89" s="15"/>
      <x:c r="G89" s="15"/>
    </x:row>
    <x:row r="90">
      <x:c r="A90" s="15"/>
      <x:c r="B90" s="15"/>
      <x:c r="C90" s="15"/>
      <x:c r="D90" s="15"/>
      <x:c r="E90" s="15"/>
      <x:c r="F90" s="15"/>
      <x:c r="G90" s="15"/>
    </x:row>
    <x:row r="91">
      <x:c r="A91" s="15"/>
      <x:c r="B91" s="15"/>
      <x:c r="C91" s="15"/>
      <x:c r="D91" s="15"/>
      <x:c r="E91" s="15"/>
      <x:c r="F91" s="15"/>
      <x:c r="G91" s="15"/>
    </x:row>
    <x:row r="92">
      <x:c r="A92" s="15"/>
      <x:c r="B92" s="15"/>
      <x:c r="C92" s="15"/>
      <x:c r="D92" s="15"/>
      <x:c r="E92" s="15"/>
      <x:c r="F92" s="15"/>
      <x:c r="G92" s="15"/>
    </x:row>
    <x:row r="93">
      <x:c r="A93" s="15"/>
      <x:c r="B93" s="15"/>
      <x:c r="C93" s="15"/>
      <x:c r="D93" s="15"/>
      <x:c r="E93" s="15"/>
      <x:c r="F93" s="15"/>
      <x:c r="G93" s="15"/>
    </x:row>
    <x:row r="94">
      <x:c r="A94" s="15"/>
      <x:c r="B94" s="15"/>
      <x:c r="C94" s="15"/>
      <x:c r="D94" s="15"/>
      <x:c r="E94" s="15"/>
      <x:c r="F94" s="15"/>
      <x:c r="G94" s="15"/>
    </x:row>
    <x:row r="95">
      <x:c r="A95" s="15"/>
      <x:c r="B95" s="15"/>
      <x:c r="C95" s="15"/>
      <x:c r="D95" s="15"/>
      <x:c r="E95" s="15"/>
      <x:c r="F95" s="15"/>
      <x:c r="G95" s="15"/>
    </x:row>
    <x:row r="96">
      <x:c r="A96" s="15"/>
      <x:c r="B96" s="15"/>
      <x:c r="C96" s="15"/>
      <x:c r="D96" s="15"/>
      <x:c r="E96" s="15"/>
      <x:c r="F96" s="15"/>
      <x:c r="G96" s="15"/>
    </x:row>
    <x:row r="97">
      <x:c r="A97" s="15"/>
      <x:c r="B97" s="15"/>
      <x:c r="C97" s="15"/>
      <x:c r="D97" s="15"/>
      <x:c r="E97" s="15"/>
      <x:c r="F97" s="15"/>
      <x:c r="G97" s="15"/>
    </x:row>
    <x:row r="98">
      <x:c r="A98" s="15"/>
      <x:c r="B98" s="15"/>
      <x:c r="C98" s="15"/>
      <x:c r="D98" s="15"/>
      <x:c r="E98" s="15"/>
      <x:c r="F98" s="15"/>
      <x:c r="G98" s="15"/>
    </x:row>
    <x:row r="99">
      <x:c r="A99" s="15"/>
      <x:c r="B99" s="15"/>
      <x:c r="C99" s="15"/>
      <x:c r="D99" s="15"/>
      <x:c r="E99" s="15"/>
      <x:c r="F99" s="15"/>
      <x:c r="G99" s="15"/>
    </x:row>
    <x:row r="100">
      <x:c r="A100" s="15"/>
      <x:c r="B100" s="15"/>
      <x:c r="C100" s="15"/>
      <x:c r="D100" s="15"/>
      <x:c r="E100" s="15"/>
      <x:c r="F100" s="15"/>
      <x:c r="G100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4" t="str">
        <x:v>규칙</x:v>
      </x:c>
      <x:c r="B1" s="14" t="str">
        <x:v>확정 내용</x:v>
      </x:c>
    </x:row>
    <x:row r="2">
      <x:c r="A2" s="15" t="str">
        <x:v>총 CASE</x:v>
      </x:c>
      <x:c r="B2" s="15" t="str">
        <x:v>51건 고정: 저서 41 + 홈페이지 확장 10</x:v>
      </x:c>
    </x:row>
    <x:row r="3">
      <x:c r="A3" s="15" t="str">
        <x:v>LGD</x:v>
      </x:c>
      <x:c r="B3" s="15" t="str">
        <x:v>CASE 42~45. LGD Source만 사용. 공개 시 고객사명 비식별.</x:v>
      </x:c>
    </x:row>
    <x:row r="4">
      <x:c r="A4" s="15" t="str">
        <x:v>LGU</x:v>
      </x:c>
      <x:c r="B4" s="15" t="str">
        <x:v>CASE 46~47. LGU Source만 사용. LGD 수치/근거 교차사용 금지.</x:v>
      </x:c>
    </x:row>
    <x:row r="5">
      <x:c r="A5" s="15" t="str">
        <x:v>친환경건축</x:v>
      </x:c>
      <x:c r="B5" s="15" t="str">
        <x:v>CASE 48~51. 오늘 확정한 Light Tower·체육관·Passive House·LEED EAc1 프로젝트.</x:v>
      </x:c>
    </x:row>
    <x:row r="6">
      <x:c r="A6" s="15" t="str">
        <x:v>Evidence</x:v>
      </x:c>
      <x:c r="B6" s="15" t="str">
        <x:v>A 실측·검증성과 / B 데이터 분석결과 / C 예상효과·절감잠재량 / D 분석·M&amp;V 방법</x:v>
      </x:c>
    </x:row>
    <x:row r="7">
      <x:c r="A7" s="15" t="str">
        <x:v>Measurement Boundary</x:v>
      </x:c>
      <x:c r="B7" s="15" t="str">
        <x:v>A 성과는 계측경계 명시. C/D는 실제 달성성과로 표현 금지.</x:v>
      </x:c>
    </x:row>
    <x:row r="8">
      <x:c r="A8" s="15" t="str">
        <x:v>URL</x:v>
      </x:c>
      <x:c r="B8" s="15" t="str">
        <x:v>CASE ID 기반 영구 URL. 향후 저서 수록 여부가 바뀌어도 URL 유지.</x:v>
      </x:c>
    </x:row>
    <x:row r="9">
      <x:c r="A9" s="15" t="str">
        <x:v>V3.3</x:v>
      </x:c>
      <x:c r="B9" s="15" t="str">
        <x:v>51 CASE MASTER를 Single Source of Truth로 사용하고 필터 건수는 동적 집계.</x:v>
      </x:c>
    </x:row>
    <x:row r="10">
      <x:c r="A10" s="15"/>
      <x:c r="B10" s="15"/>
    </x:row>
    <x:row r="11">
      <x:c r="A11" s="15"/>
      <x:c r="B11" s="15"/>
    </x:row>
    <x:row r="12">
      <x:c r="A12" s="15"/>
      <x:c r="B12" s="15"/>
    </x:row>
    <x:row r="13">
      <x:c r="A13" s="15"/>
      <x:c r="B13" s="15"/>
    </x:row>
    <x:row r="14">
      <x:c r="A14" s="15"/>
      <x:c r="B14" s="15"/>
    </x:row>
    <x:row r="15">
      <x:c r="A15" s="15"/>
      <x:c r="B15" s="15"/>
    </x:row>
    <x:row r="16">
      <x:c r="A16" s="15"/>
      <x:c r="B16" s="15"/>
    </x:row>
    <x:row r="17">
      <x:c r="A17" s="15"/>
      <x:c r="B17" s="15"/>
    </x:row>
    <x:row r="18">
      <x:c r="A18" s="15"/>
      <x:c r="B18" s="15"/>
    </x:row>
    <x:row r="19">
      <x:c r="A19" s="15"/>
      <x:c r="B19" s="15"/>
    </x:row>
    <x:row r="20">
      <x:c r="A20" s="15"/>
      <x:c r="B20" s="15"/>
    </x:row>
    <x:row r="21">
      <x:c r="A21" s="15"/>
      <x:c r="B21" s="15"/>
    </x:row>
    <x:row r="22">
      <x:c r="A22" s="15"/>
      <x:c r="B22" s="15"/>
    </x:row>
    <x:row r="23">
      <x:c r="A23" s="15"/>
      <x:c r="B23" s="15"/>
    </x:row>
    <x:row r="24">
      <x:c r="A24" s="15"/>
      <x:c r="B24" s="15"/>
    </x:row>
    <x:row r="25">
      <x:c r="A25" s="15"/>
      <x:c r="B25" s="15"/>
    </x:row>
    <x:row r="26">
      <x:c r="A26" s="15"/>
      <x:c r="B26" s="15"/>
    </x:row>
    <x:row r="27">
      <x:c r="A27" s="15"/>
      <x:c r="B27" s="15"/>
    </x:row>
    <x:row r="28">
      <x:c r="A28" s="15"/>
      <x:c r="B28" s="15"/>
    </x:row>
    <x:row r="29">
      <x:c r="A29" s="15"/>
      <x:c r="B29" s="15"/>
    </x:row>
    <x:row r="30">
      <x:c r="A30" s="15"/>
      <x:c r="B30" s="15"/>
    </x:row>
    <x:row r="31">
      <x:c r="A31" s="15"/>
      <x:c r="B31" s="15"/>
    </x:row>
    <x:row r="32">
      <x:c r="A32" s="15"/>
      <x:c r="B32" s="15"/>
    </x:row>
    <x:row r="33">
      <x:c r="A33" s="15"/>
      <x:c r="B33" s="15"/>
    </x:row>
    <x:row r="34">
      <x:c r="A34" s="15"/>
      <x:c r="B34" s="15"/>
    </x:row>
    <x:row r="35">
      <x:c r="A35" s="15"/>
      <x:c r="B35" s="15"/>
    </x:row>
    <x:row r="36">
      <x:c r="A36" s="15"/>
      <x:c r="B36" s="15"/>
    </x:row>
    <x:row r="37">
      <x:c r="A37" s="15"/>
      <x:c r="B37" s="15"/>
    </x:row>
    <x:row r="38">
      <x:c r="A38" s="15"/>
      <x:c r="B38" s="15"/>
    </x:row>
    <x:row r="39">
      <x:c r="A39" s="15"/>
      <x:c r="B39" s="15"/>
    </x:row>
    <x:row r="40">
      <x:c r="A40" s="15"/>
      <x:c r="B40" s="15"/>
    </x:row>
    <x:row r="41">
      <x:c r="A41" s="15"/>
      <x:c r="B41" s="15"/>
    </x:row>
    <x:row r="42">
      <x:c r="A42" s="15"/>
      <x:c r="B42" s="15"/>
    </x:row>
    <x:row r="43">
      <x:c r="A43" s="15"/>
      <x:c r="B43" s="15"/>
    </x:row>
    <x:row r="44">
      <x:c r="A44" s="15"/>
      <x:c r="B44" s="15"/>
    </x:row>
    <x:row r="45">
      <x:c r="A45" s="15"/>
      <x:c r="B45" s="15"/>
    </x:row>
    <x:row r="46">
      <x:c r="A46" s="15"/>
      <x:c r="B46" s="15"/>
    </x:row>
    <x:row r="47">
      <x:c r="A47" s="15"/>
      <x:c r="B47" s="15"/>
    </x:row>
    <x:row r="48">
      <x:c r="A48" s="15"/>
      <x:c r="B48" s="15"/>
    </x:row>
    <x:row r="49">
      <x:c r="A49" s="15"/>
      <x:c r="B49" s="15"/>
    </x:row>
    <x:row r="50">
      <x:c r="A50" s="15"/>
      <x:c r="B50" s="15"/>
    </x:row>
    <x:row r="51">
      <x:c r="A51" s="15"/>
      <x:c r="B51" s="15"/>
    </x:row>
    <x:row r="52">
      <x:c r="A52" s="15"/>
      <x:c r="B52" s="15"/>
    </x:row>
    <x:row r="53">
      <x:c r="A53" s="15"/>
      <x:c r="B53" s="15"/>
    </x:row>
    <x:row r="54">
      <x:c r="A54" s="15"/>
      <x:c r="B54" s="15"/>
    </x:row>
    <x:row r="55">
      <x:c r="A55" s="15"/>
      <x:c r="B55" s="15"/>
    </x:row>
    <x:row r="56">
      <x:c r="A56" s="15"/>
      <x:c r="B56" s="15"/>
    </x:row>
    <x:row r="57">
      <x:c r="A57" s="15"/>
      <x:c r="B57" s="15"/>
    </x:row>
    <x:row r="58">
      <x:c r="A58" s="15"/>
      <x:c r="B58" s="15"/>
    </x:row>
    <x:row r="59">
      <x:c r="A59" s="15"/>
      <x:c r="B59" s="15"/>
    </x:row>
    <x:row r="60">
      <x:c r="A60" s="15"/>
      <x:c r="B60" s="15"/>
    </x:row>
    <x:row r="61">
      <x:c r="A61" s="15"/>
      <x:c r="B61" s="15"/>
    </x:row>
    <x:row r="62">
      <x:c r="A62" s="15"/>
      <x:c r="B62" s="15"/>
    </x:row>
    <x:row r="63">
      <x:c r="A63" s="15"/>
      <x:c r="B63" s="15"/>
    </x:row>
    <x:row r="64">
      <x:c r="A64" s="15"/>
      <x:c r="B64" s="15"/>
    </x:row>
    <x:row r="65">
      <x:c r="A65" s="15"/>
      <x:c r="B65" s="15"/>
    </x:row>
    <x:row r="66">
      <x:c r="A66" s="15"/>
      <x:c r="B66" s="15"/>
    </x:row>
    <x:row r="67">
      <x:c r="A67" s="15"/>
      <x:c r="B67" s="15"/>
    </x:row>
    <x:row r="68">
      <x:c r="A68" s="15"/>
      <x:c r="B68" s="15"/>
    </x:row>
    <x:row r="69">
      <x:c r="A69" s="15"/>
      <x:c r="B69" s="15"/>
    </x:row>
    <x:row r="70">
      <x:c r="A70" s="15"/>
      <x:c r="B70" s="15"/>
    </x:row>
    <x:row r="71">
      <x:c r="A71" s="15"/>
      <x:c r="B71" s="15"/>
    </x:row>
    <x:row r="72">
      <x:c r="A72" s="15"/>
      <x:c r="B72" s="15"/>
    </x:row>
    <x:row r="73">
      <x:c r="A73" s="15"/>
      <x:c r="B73" s="15"/>
    </x:row>
    <x:row r="74">
      <x:c r="A74" s="15"/>
      <x:c r="B74" s="15"/>
    </x:row>
    <x:row r="75">
      <x:c r="A75" s="15"/>
      <x:c r="B75" s="15"/>
    </x:row>
    <x:row r="76">
      <x:c r="A76" s="15"/>
      <x:c r="B76" s="15"/>
    </x:row>
    <x:row r="77">
      <x:c r="A77" s="15"/>
      <x:c r="B77" s="15"/>
    </x:row>
    <x:row r="78">
      <x:c r="A78" s="15"/>
      <x:c r="B78" s="15"/>
    </x:row>
    <x:row r="79">
      <x:c r="A79" s="15"/>
      <x:c r="B79" s="15"/>
    </x:row>
    <x:row r="80">
      <x:c r="A80" s="15"/>
      <x:c r="B80" s="15"/>
    </x:row>
    <x:row r="81">
      <x:c r="A81" s="15"/>
      <x:c r="B81" s="15"/>
    </x:row>
    <x:row r="82">
      <x:c r="A82" s="15"/>
      <x:c r="B82" s="15"/>
    </x:row>
    <x:row r="83">
      <x:c r="A83" s="15"/>
      <x:c r="B83" s="15"/>
    </x:row>
    <x:row r="84">
      <x:c r="A84" s="15"/>
      <x:c r="B84" s="15"/>
    </x:row>
    <x:row r="85">
      <x:c r="A85" s="15"/>
      <x:c r="B85" s="15"/>
    </x:row>
    <x:row r="86">
      <x:c r="A86" s="15"/>
      <x:c r="B86" s="15"/>
    </x:row>
    <x:row r="87">
      <x:c r="A87" s="15"/>
      <x:c r="B87" s="15"/>
    </x:row>
    <x:row r="88">
      <x:c r="A88" s="15"/>
      <x:c r="B88" s="15"/>
    </x:row>
    <x:row r="89">
      <x:c r="A89" s="15"/>
      <x:c r="B89" s="15"/>
    </x:row>
    <x:row r="90">
      <x:c r="A90" s="15"/>
      <x:c r="B90" s="15"/>
    </x:row>
    <x:row r="91">
      <x:c r="A91" s="15"/>
      <x:c r="B91" s="15"/>
    </x:row>
    <x:row r="92">
      <x:c r="A92" s="15"/>
      <x:c r="B92" s="15"/>
    </x:row>
    <x:row r="93">
      <x:c r="A93" s="15"/>
      <x:c r="B93" s="15"/>
    </x:row>
    <x:row r="94">
      <x:c r="A94" s="15"/>
      <x:c r="B94" s="15"/>
    </x:row>
    <x:row r="95">
      <x:c r="A95" s="15"/>
      <x:c r="B95" s="15"/>
    </x:row>
    <x:row r="96">
      <x:c r="A96" s="15"/>
      <x:c r="B96" s="15"/>
    </x:row>
    <x:row r="97">
      <x:c r="A97" s="15"/>
      <x:c r="B97" s="15"/>
    </x:row>
    <x:row r="98">
      <x:c r="A98" s="15"/>
      <x:c r="B98" s="15"/>
    </x:row>
    <x:row r="99">
      <x:c r="A99" s="15"/>
      <x:c r="B99" s="15"/>
    </x:row>
    <x:row r="100">
      <x:c r="A100" s="15"/>
      <x:c r="B100" s="15"/>
    </x:row>
  </x:sheetData>
  <x:pageMargins left="0.7" right="0.7" top="0.75" bottom="0.75" header="0.3" footer="0.3"/>
  <x:tableParts count="1">
    <x:tablePart xmlns:r="http://schemas.openxmlformats.org/officeDocument/2006/relationships" r:id="Re26d7765e7f1468d"/>
  </x:tableParts>
</x:worksheet>
</file>